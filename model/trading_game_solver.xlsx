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" sheetId="1" state="visible" r:id="rId1"/>
    <sheet name="INFERENC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.0;-0.0;0"/>
    <numFmt numFmtId="166" formatCode="0.0000"/>
    <numFmt numFmtId="167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sz val="12"/>
    </font>
    <font>
      <b val="1"/>
      <sz val="12"/>
    </font>
    <font>
      <b val="1"/>
      <color rgb="00FFFFFF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4A86C8"/>
        <bgColor rgb="FF4A86C8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164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2" fontId="0" fillId="3" borderId="0" pivotButton="0" quotePrefix="0" xfId="0"/>
    <xf numFmtId="164" fontId="5" fillId="4" borderId="0" pivotButton="0" quotePrefix="0" xfId="0"/>
    <xf numFmtId="0" fontId="5" fillId="4" borderId="0" pivotButton="0" quotePrefix="0" xfId="0"/>
    <xf numFmtId="165" fontId="5" fillId="4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6" fillId="5" borderId="0" pivotButton="0" quotePrefix="0" xfId="0"/>
    <xf numFmtId="9" fontId="5" fillId="4" borderId="0" pivotButton="0" quotePrefix="0" xfId="0"/>
    <xf numFmtId="0" fontId="7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4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5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B1" s="1" t="inlineStr">
        <is>
          <t>TRADING GAME SOLVER</t>
        </is>
      </c>
    </row>
    <row r="3">
      <c r="B3" s="2" t="inlineStr">
        <is>
          <t>YOUR INPUTS</t>
        </is>
      </c>
      <c r="E3" s="2" t="inlineStr">
        <is>
          <t>SETTINGS</t>
        </is>
      </c>
    </row>
    <row r="4">
      <c r="B4" s="3" t="inlineStr">
        <is>
          <t>Your Card:</t>
        </is>
      </c>
      <c r="C4" s="4" t="n"/>
      <c r="E4" s="3" t="inlineStr">
        <is>
          <t>Bluff Prior (p):</t>
        </is>
      </c>
      <c r="F4" s="5" t="n">
        <v>0.7</v>
      </c>
    </row>
    <row r="5">
      <c r="B5" s="3" t="inlineStr">
        <is>
          <t>Central 1:</t>
        </is>
      </c>
      <c r="C5" s="4" t="n"/>
      <c r="E5" s="3" t="inlineStr">
        <is>
          <t>Sigma:</t>
        </is>
      </c>
      <c r="F5" s="6" t="n">
        <v>3</v>
      </c>
    </row>
    <row r="6">
      <c r="B6" s="3" t="inlineStr">
        <is>
          <t>Central 2:</t>
        </is>
      </c>
      <c r="C6" s="4" t="n"/>
    </row>
    <row r="7">
      <c r="B7" s="3" t="inlineStr">
        <is>
          <t>Central 3:</t>
        </is>
      </c>
      <c r="C7" s="4" t="n"/>
    </row>
    <row r="9">
      <c r="B9" s="2" t="inlineStr">
        <is>
          <t>YOUR EV</t>
        </is>
      </c>
    </row>
    <row r="10">
      <c r="B10" t="inlineStr">
        <is>
          <t>Known Cards:</t>
        </is>
      </c>
      <c r="C10" s="7">
        <f>1+COUNTA(C5:C7)</f>
        <v/>
      </c>
    </row>
    <row r="11">
      <c r="B11" t="inlineStr">
        <is>
          <t>Known Sum:</t>
        </is>
      </c>
      <c r="C11" s="7">
        <f>C4+SUM(C5:C7)</f>
        <v/>
      </c>
    </row>
    <row r="12">
      <c r="B12" t="inlineStr">
        <is>
          <t>Unknowns in Play:</t>
        </is>
      </c>
      <c r="C12" s="7">
        <f>7-COUNTA(C5:C7)</f>
        <v/>
      </c>
    </row>
    <row r="13">
      <c r="B13" t="inlineStr">
        <is>
          <t>Remaining Pool Mean:</t>
        </is>
      </c>
      <c r="C13" s="8">
        <f>(130-C11)/(17-C10)</f>
        <v/>
      </c>
    </row>
    <row r="15">
      <c r="B15" s="3" t="inlineStr">
        <is>
          <t>Fair Total (EV):</t>
        </is>
      </c>
      <c r="C15" s="9">
        <f>IF(C4="","",C11+C12*C13)</f>
        <v/>
      </c>
    </row>
    <row r="16">
      <c r="B16" t="inlineStr">
        <is>
          <t>Fair Mid (rounded):</t>
        </is>
      </c>
      <c r="C16" s="10">
        <f>IF(C15="","",ROUND(C15,0))</f>
        <v/>
      </c>
    </row>
    <row r="17">
      <c r="B17" t="inlineStr">
        <is>
          <t>Your Bid:</t>
        </is>
      </c>
      <c r="C17" s="10">
        <f>IF(C16="","",C16-1)</f>
        <v/>
      </c>
    </row>
    <row r="18">
      <c r="B18" t="inlineStr">
        <is>
          <t>Your Ask:</t>
        </is>
      </c>
      <c r="C18" s="10">
        <f>IF(C16="","",C16+1)</f>
        <v/>
      </c>
    </row>
    <row r="20">
      <c r="B20" s="2" t="inlineStr">
        <is>
          <t>DECISION HELPER</t>
        </is>
      </c>
    </row>
    <row r="21">
      <c r="B21" s="3" t="inlineStr">
        <is>
          <t>Offered Bid:</t>
        </is>
      </c>
      <c r="C21" s="6" t="n"/>
    </row>
    <row r="22">
      <c r="B22" s="3" t="inlineStr">
        <is>
          <t>Offered Ask:</t>
        </is>
      </c>
      <c r="C22" s="6" t="n"/>
    </row>
    <row r="24">
      <c r="B24" s="3" t="inlineStr">
        <is>
          <t>Buy EV:</t>
        </is>
      </c>
      <c r="C24" s="11">
        <f>IF(OR(C15="",C22=""),"",C15-C22)</f>
        <v/>
      </c>
    </row>
    <row r="25">
      <c r="B25" s="3" t="inlineStr">
        <is>
          <t>Sell EV:</t>
        </is>
      </c>
      <c r="C25" s="11">
        <f>IF(OR(C15="",C21=""),"",C21-C15)</f>
        <v/>
      </c>
    </row>
    <row r="27">
      <c r="B27" s="12" t="inlineStr">
        <is>
          <t>RECOMMENDATION:</t>
        </is>
      </c>
      <c r="C27" s="13">
        <f>IF(OR(C24="",C25=""),"—",IF(AND(C24&gt;0,C24&gt;=C25),"BUY",IF(C25&gt;0,"SELL","WALK")))</f>
        <v/>
      </c>
    </row>
    <row r="29">
      <c r="B29" s="2" t="inlineStr">
        <is>
          <t>OPPONENT INFERENCE</t>
        </is>
      </c>
    </row>
    <row r="30">
      <c r="B30" s="14" t="inlineStr">
        <is>
          <t>Player</t>
        </is>
      </c>
      <c r="C30" s="14" t="inlineStr">
        <is>
          <t>Obs. Mid</t>
        </is>
      </c>
      <c r="D30" s="14" t="inlineStr">
        <is>
          <t>Likely Card</t>
        </is>
      </c>
      <c r="E30" s="14" t="inlineStr">
        <is>
          <t>Confidence</t>
        </is>
      </c>
    </row>
    <row r="31">
      <c r="B31" s="3" t="inlineStr">
        <is>
          <t>Opponent 1</t>
        </is>
      </c>
      <c r="C31" s="6" t="n"/>
      <c r="D31" s="10">
        <f>IF(C31="","—",INDEX(INFERENCE!A4:A20,MATCH(MAX(INFERENCE!G4:G20),INFERENCE!G4:G20,0)))</f>
        <v/>
      </c>
      <c r="E31" s="15">
        <f>IF(C31="","—",MAX(INFERENCE!G4:G20))</f>
        <v/>
      </c>
    </row>
    <row r="32">
      <c r="B32" s="3" t="inlineStr">
        <is>
          <t>Opponent 2</t>
        </is>
      </c>
      <c r="C32" s="6" t="n"/>
      <c r="D32" s="10">
        <f>IF(C32="","—",INDEX(INFERENCE!A23:A39,MATCH(MAX(INFERENCE!G23:G39),INFERENCE!G23:G39,0)))</f>
        <v/>
      </c>
      <c r="E32" s="15">
        <f>IF(C32="","—",MAX(INFERENCE!G23:G39))</f>
        <v/>
      </c>
    </row>
    <row r="33">
      <c r="B33" s="3" t="inlineStr">
        <is>
          <t>Opponent 3</t>
        </is>
      </c>
      <c r="C33" s="6" t="n"/>
      <c r="D33" s="10">
        <f>IF(C33="","—",INDEX(INFERENCE!A42:A58,MATCH(MAX(INFERENCE!G42:G58),INFERENCE!G42:G58,0)))</f>
        <v/>
      </c>
      <c r="E33" s="15">
        <f>IF(C33="","—",MAX(INFERENCE!G42:G58))</f>
        <v/>
      </c>
    </row>
    <row r="34">
      <c r="B34" s="3" t="inlineStr">
        <is>
          <t>Opponent 4</t>
        </is>
      </c>
      <c r="C34" s="6" t="n"/>
      <c r="D34" s="10">
        <f>IF(C34="","—",INDEX(INFERENCE!A61:A77,MATCH(MAX(INFERENCE!G61:G77),INFERENCE!G61:G77,0)))</f>
        <v/>
      </c>
      <c r="E34" s="15">
        <f>IF(C34="","—",MAX(INFERENCE!G61:G77))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7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2">
      <c r="A2" s="2" t="inlineStr">
        <is>
          <t>Opponent 1</t>
        </is>
      </c>
      <c r="C2" s="16" t="inlineStr">
        <is>
          <t>Obs Mid → GAME!C31</t>
        </is>
      </c>
    </row>
    <row r="3">
      <c r="A3" s="17" t="inlineStr">
        <is>
          <t>Card</t>
        </is>
      </c>
      <c r="B3" s="17" t="inlineStr">
        <is>
          <t>Poss?</t>
        </is>
      </c>
      <c r="C3" s="17" t="inlineStr">
        <is>
          <t>Naive EV</t>
        </is>
      </c>
      <c r="D3" s="17" t="inlineStr">
        <is>
          <t>Bluff EV</t>
        </is>
      </c>
      <c r="E3" s="17" t="inlineStr">
        <is>
          <t>L(naive)</t>
        </is>
      </c>
      <c r="F3" s="17" t="inlineStr">
        <is>
          <t>L(bluff)</t>
        </is>
      </c>
      <c r="G3" s="17" t="inlineStr">
        <is>
          <t>P(card)</t>
        </is>
      </c>
    </row>
    <row r="4">
      <c r="A4" t="n">
        <v>-10</v>
      </c>
      <c r="B4">
        <f>AND(A4&lt;&gt;GAME!C4,OR(GAME!C5="",A4&lt;&gt;GAME!C5),OR(GAME!C6="",A4&lt;&gt;GAME!C6),OR(GAME!C7="",A4&lt;&gt;GAME!C7))</f>
        <v/>
      </c>
      <c r="C4" s="18">
        <f>A4+SUM(GAME!C5:C7)+(7-COUNTA(GAME!C5:C7))*(130-A4-SUM(GAME!C5:C7))/(16-COUNTA(GAME!C5:C7))</f>
        <v/>
      </c>
      <c r="D4" s="18">
        <f>IF(A4&gt;7.65,C4-REFERENCE!B5,C4+REFERENCE!B5)</f>
        <v/>
      </c>
      <c r="E4" s="19">
        <f>IF(AND(B4,GAME!C31&lt;&gt;""),EXP(-((C4-GAME!C31)^2)/(2*GAME!F5^2)),0)</f>
        <v/>
      </c>
      <c r="F4" s="19">
        <f>IF(AND(B4,GAME!C31&lt;&gt;""),EXP(-((D4-GAME!C31)^2)/(2*GAME!F5^2)),0)</f>
        <v/>
      </c>
      <c r="G4" s="20">
        <f>IF(GAME!C31="",IF(B4,1/COUNTIF(B4:B20,TRUE),0),IF(B4,(GAME!F4*E4+(1-GAME!F4)*F4)/SUMPRODUCT(GAME!F4*E4:E20+(1-GAME!F4)*F4:F20),0))</f>
        <v/>
      </c>
    </row>
    <row r="5">
      <c r="A5" t="n">
        <v>1</v>
      </c>
      <c r="B5">
        <f>AND(A5&lt;&gt;GAME!C4,OR(GAME!C5="",A5&lt;&gt;GAME!C5),OR(GAME!C6="",A5&lt;&gt;GAME!C6),OR(GAME!C7="",A5&lt;&gt;GAME!C7))</f>
        <v/>
      </c>
      <c r="C5" s="18">
        <f>A5+SUM(GAME!C5:C7)+(7-COUNTA(GAME!C5:C7))*(130-A5-SUM(GAME!C5:C7))/(16-COUNTA(GAME!C5:C7))</f>
        <v/>
      </c>
      <c r="D5" s="18">
        <f>IF(A5&gt;7.65,C5-REFERENCE!B5,C5+REFERENCE!B5)</f>
        <v/>
      </c>
      <c r="E5" s="19">
        <f>IF(AND(B5,GAME!C31&lt;&gt;""),EXP(-((C5-GAME!C31)^2)/(2*GAME!F5^2)),0)</f>
        <v/>
      </c>
      <c r="F5" s="19">
        <f>IF(AND(B5,GAME!C31&lt;&gt;""),EXP(-((D5-GAME!C31)^2)/(2*GAME!F5^2)),0)</f>
        <v/>
      </c>
      <c r="G5" s="20">
        <f>IF(GAME!C31="",IF(B5,1/COUNTIF(B4:B20,TRUE),0),IF(B5,(GAME!F4*E5+(1-GAME!F4)*F5)/SUMPRODUCT(GAME!F4*E4:E20+(1-GAME!F4)*F4:F20),0))</f>
        <v/>
      </c>
    </row>
    <row r="6">
      <c r="A6" t="n">
        <v>2</v>
      </c>
      <c r="B6">
        <f>AND(A6&lt;&gt;GAME!C4,OR(GAME!C5="",A6&lt;&gt;GAME!C5),OR(GAME!C6="",A6&lt;&gt;GAME!C6),OR(GAME!C7="",A6&lt;&gt;GAME!C7))</f>
        <v/>
      </c>
      <c r="C6" s="18">
        <f>A6+SUM(GAME!C5:C7)+(7-COUNTA(GAME!C5:C7))*(130-A6-SUM(GAME!C5:C7))/(16-COUNTA(GAME!C5:C7))</f>
        <v/>
      </c>
      <c r="D6" s="18">
        <f>IF(A6&gt;7.65,C6-REFERENCE!B5,C6+REFERENCE!B5)</f>
        <v/>
      </c>
      <c r="E6" s="19">
        <f>IF(AND(B6,GAME!C31&lt;&gt;""),EXP(-((C6-GAME!C31)^2)/(2*GAME!F5^2)),0)</f>
        <v/>
      </c>
      <c r="F6" s="19">
        <f>IF(AND(B6,GAME!C31&lt;&gt;""),EXP(-((D6-GAME!C31)^2)/(2*GAME!F5^2)),0)</f>
        <v/>
      </c>
      <c r="G6" s="20">
        <f>IF(GAME!C31="",IF(B6,1/COUNTIF(B4:B20,TRUE),0),IF(B6,(GAME!F4*E6+(1-GAME!F4)*F6)/SUMPRODUCT(GAME!F4*E4:E20+(1-GAME!F4)*F4:F20),0))</f>
        <v/>
      </c>
    </row>
    <row r="7">
      <c r="A7" t="n">
        <v>3</v>
      </c>
      <c r="B7">
        <f>AND(A7&lt;&gt;GAME!C4,OR(GAME!C5="",A7&lt;&gt;GAME!C5),OR(GAME!C6="",A7&lt;&gt;GAME!C6),OR(GAME!C7="",A7&lt;&gt;GAME!C7))</f>
        <v/>
      </c>
      <c r="C7" s="18">
        <f>A7+SUM(GAME!C5:C7)+(7-COUNTA(GAME!C5:C7))*(130-A7-SUM(GAME!C5:C7))/(16-COUNTA(GAME!C5:C7))</f>
        <v/>
      </c>
      <c r="D7" s="18">
        <f>IF(A7&gt;7.65,C7-REFERENCE!B5,C7+REFERENCE!B5)</f>
        <v/>
      </c>
      <c r="E7" s="19">
        <f>IF(AND(B7,GAME!C31&lt;&gt;""),EXP(-((C7-GAME!C31)^2)/(2*GAME!F5^2)),0)</f>
        <v/>
      </c>
      <c r="F7" s="19">
        <f>IF(AND(B7,GAME!C31&lt;&gt;""),EXP(-((D7-GAME!C31)^2)/(2*GAME!F5^2)),0)</f>
        <v/>
      </c>
      <c r="G7" s="20">
        <f>IF(GAME!C31="",IF(B7,1/COUNTIF(B4:B20,TRUE),0),IF(B7,(GAME!F4*E7+(1-GAME!F4)*F7)/SUMPRODUCT(GAME!F4*E4:E20+(1-GAME!F4)*F4:F20),0))</f>
        <v/>
      </c>
    </row>
    <row r="8">
      <c r="A8" t="n">
        <v>4</v>
      </c>
      <c r="B8">
        <f>AND(A8&lt;&gt;GAME!C4,OR(GAME!C5="",A8&lt;&gt;GAME!C5),OR(GAME!C6="",A8&lt;&gt;GAME!C6),OR(GAME!C7="",A8&lt;&gt;GAME!C7))</f>
        <v/>
      </c>
      <c r="C8" s="18">
        <f>A8+SUM(GAME!C5:C7)+(7-COUNTA(GAME!C5:C7))*(130-A8-SUM(GAME!C5:C7))/(16-COUNTA(GAME!C5:C7))</f>
        <v/>
      </c>
      <c r="D8" s="18">
        <f>IF(A8&gt;7.65,C8-REFERENCE!B5,C8+REFERENCE!B5)</f>
        <v/>
      </c>
      <c r="E8" s="19">
        <f>IF(AND(B8,GAME!C31&lt;&gt;""),EXP(-((C8-GAME!C31)^2)/(2*GAME!F5^2)),0)</f>
        <v/>
      </c>
      <c r="F8" s="19">
        <f>IF(AND(B8,GAME!C31&lt;&gt;""),EXP(-((D8-GAME!C31)^2)/(2*GAME!F5^2)),0)</f>
        <v/>
      </c>
      <c r="G8" s="20">
        <f>IF(GAME!C31="",IF(B8,1/COUNTIF(B4:B20,TRUE),0),IF(B8,(GAME!F4*E8+(1-GAME!F4)*F8)/SUMPRODUCT(GAME!F4*E4:E20+(1-GAME!F4)*F4:F20),0))</f>
        <v/>
      </c>
    </row>
    <row r="9">
      <c r="A9" t="n">
        <v>5</v>
      </c>
      <c r="B9">
        <f>AND(A9&lt;&gt;GAME!C4,OR(GAME!C5="",A9&lt;&gt;GAME!C5),OR(GAME!C6="",A9&lt;&gt;GAME!C6),OR(GAME!C7="",A9&lt;&gt;GAME!C7))</f>
        <v/>
      </c>
      <c r="C9" s="18">
        <f>A9+SUM(GAME!C5:C7)+(7-COUNTA(GAME!C5:C7))*(130-A9-SUM(GAME!C5:C7))/(16-COUNTA(GAME!C5:C7))</f>
        <v/>
      </c>
      <c r="D9" s="18">
        <f>IF(A9&gt;7.65,C9-REFERENCE!B5,C9+REFERENCE!B5)</f>
        <v/>
      </c>
      <c r="E9" s="19">
        <f>IF(AND(B9,GAME!C31&lt;&gt;""),EXP(-((C9-GAME!C31)^2)/(2*GAME!F5^2)),0)</f>
        <v/>
      </c>
      <c r="F9" s="19">
        <f>IF(AND(B9,GAME!C31&lt;&gt;""),EXP(-((D9-GAME!C31)^2)/(2*GAME!F5^2)),0)</f>
        <v/>
      </c>
      <c r="G9" s="20">
        <f>IF(GAME!C31="",IF(B9,1/COUNTIF(B4:B20,TRUE),0),IF(B9,(GAME!F4*E9+(1-GAME!F4)*F9)/SUMPRODUCT(GAME!F4*E4:E20+(1-GAME!F4)*F4:F20),0))</f>
        <v/>
      </c>
    </row>
    <row r="10">
      <c r="A10" t="n">
        <v>6</v>
      </c>
      <c r="B10">
        <f>AND(A10&lt;&gt;GAME!C4,OR(GAME!C5="",A10&lt;&gt;GAME!C5),OR(GAME!C6="",A10&lt;&gt;GAME!C6),OR(GAME!C7="",A10&lt;&gt;GAME!C7))</f>
        <v/>
      </c>
      <c r="C10" s="18">
        <f>A10+SUM(GAME!C5:C7)+(7-COUNTA(GAME!C5:C7))*(130-A10-SUM(GAME!C5:C7))/(16-COUNTA(GAME!C5:C7))</f>
        <v/>
      </c>
      <c r="D10" s="18">
        <f>IF(A10&gt;7.65,C10-REFERENCE!B5,C10+REFERENCE!B5)</f>
        <v/>
      </c>
      <c r="E10" s="19">
        <f>IF(AND(B10,GAME!C31&lt;&gt;""),EXP(-((C10-GAME!C31)^2)/(2*GAME!F5^2)),0)</f>
        <v/>
      </c>
      <c r="F10" s="19">
        <f>IF(AND(B10,GAME!C31&lt;&gt;""),EXP(-((D10-GAME!C31)^2)/(2*GAME!F5^2)),0)</f>
        <v/>
      </c>
      <c r="G10" s="20">
        <f>IF(GAME!C31="",IF(B10,1/COUNTIF(B4:B20,TRUE),0),IF(B10,(GAME!F4*E10+(1-GAME!F4)*F10)/SUMPRODUCT(GAME!F4*E4:E20+(1-GAME!F4)*F4:F20),0))</f>
        <v/>
      </c>
    </row>
    <row r="11">
      <c r="A11" t="n">
        <v>7</v>
      </c>
      <c r="B11">
        <f>AND(A11&lt;&gt;GAME!C4,OR(GAME!C5="",A11&lt;&gt;GAME!C5),OR(GAME!C6="",A11&lt;&gt;GAME!C6),OR(GAME!C7="",A11&lt;&gt;GAME!C7))</f>
        <v/>
      </c>
      <c r="C11" s="18">
        <f>A11+SUM(GAME!C5:C7)+(7-COUNTA(GAME!C5:C7))*(130-A11-SUM(GAME!C5:C7))/(16-COUNTA(GAME!C5:C7))</f>
        <v/>
      </c>
      <c r="D11" s="18">
        <f>IF(A11&gt;7.65,C11-REFERENCE!B5,C11+REFERENCE!B5)</f>
        <v/>
      </c>
      <c r="E11" s="19">
        <f>IF(AND(B11,GAME!C31&lt;&gt;""),EXP(-((C11-GAME!C31)^2)/(2*GAME!F5^2)),0)</f>
        <v/>
      </c>
      <c r="F11" s="19">
        <f>IF(AND(B11,GAME!C31&lt;&gt;""),EXP(-((D11-GAME!C31)^2)/(2*GAME!F5^2)),0)</f>
        <v/>
      </c>
      <c r="G11" s="20">
        <f>IF(GAME!C31="",IF(B11,1/COUNTIF(B4:B20,TRUE),0),IF(B11,(GAME!F4*E11+(1-GAME!F4)*F11)/SUMPRODUCT(GAME!F4*E4:E20+(1-GAME!F4)*F4:F20),0))</f>
        <v/>
      </c>
    </row>
    <row r="12">
      <c r="A12" t="n">
        <v>8</v>
      </c>
      <c r="B12">
        <f>AND(A12&lt;&gt;GAME!C4,OR(GAME!C5="",A12&lt;&gt;GAME!C5),OR(GAME!C6="",A12&lt;&gt;GAME!C6),OR(GAME!C7="",A12&lt;&gt;GAME!C7))</f>
        <v/>
      </c>
      <c r="C12" s="18">
        <f>A12+SUM(GAME!C5:C7)+(7-COUNTA(GAME!C5:C7))*(130-A12-SUM(GAME!C5:C7))/(16-COUNTA(GAME!C5:C7))</f>
        <v/>
      </c>
      <c r="D12" s="18">
        <f>IF(A12&gt;7.65,C12-REFERENCE!B5,C12+REFERENCE!B5)</f>
        <v/>
      </c>
      <c r="E12" s="19">
        <f>IF(AND(B12,GAME!C31&lt;&gt;""),EXP(-((C12-GAME!C31)^2)/(2*GAME!F5^2)),0)</f>
        <v/>
      </c>
      <c r="F12" s="19">
        <f>IF(AND(B12,GAME!C31&lt;&gt;""),EXP(-((D12-GAME!C31)^2)/(2*GAME!F5^2)),0)</f>
        <v/>
      </c>
      <c r="G12" s="20">
        <f>IF(GAME!C31="",IF(B12,1/COUNTIF(B4:B20,TRUE),0),IF(B12,(GAME!F4*E12+(1-GAME!F4)*F12)/SUMPRODUCT(GAME!F4*E4:E20+(1-GAME!F4)*F4:F20),0))</f>
        <v/>
      </c>
    </row>
    <row r="13">
      <c r="A13" t="n">
        <v>9</v>
      </c>
      <c r="B13">
        <f>AND(A13&lt;&gt;GAME!C4,OR(GAME!C5="",A13&lt;&gt;GAME!C5),OR(GAME!C6="",A13&lt;&gt;GAME!C6),OR(GAME!C7="",A13&lt;&gt;GAME!C7))</f>
        <v/>
      </c>
      <c r="C13" s="18">
        <f>A13+SUM(GAME!C5:C7)+(7-COUNTA(GAME!C5:C7))*(130-A13-SUM(GAME!C5:C7))/(16-COUNTA(GAME!C5:C7))</f>
        <v/>
      </c>
      <c r="D13" s="18">
        <f>IF(A13&gt;7.65,C13-REFERENCE!B5,C13+REFERENCE!B5)</f>
        <v/>
      </c>
      <c r="E13" s="19">
        <f>IF(AND(B13,GAME!C31&lt;&gt;""),EXP(-((C13-GAME!C31)^2)/(2*GAME!F5^2)),0)</f>
        <v/>
      </c>
      <c r="F13" s="19">
        <f>IF(AND(B13,GAME!C31&lt;&gt;""),EXP(-((D13-GAME!C31)^2)/(2*GAME!F5^2)),0)</f>
        <v/>
      </c>
      <c r="G13" s="20">
        <f>IF(GAME!C31="",IF(B13,1/COUNTIF(B4:B20,TRUE),0),IF(B13,(GAME!F4*E13+(1-GAME!F4)*F13)/SUMPRODUCT(GAME!F4*E4:E20+(1-GAME!F4)*F4:F20),0))</f>
        <v/>
      </c>
    </row>
    <row r="14">
      <c r="A14" t="n">
        <v>10</v>
      </c>
      <c r="B14">
        <f>AND(A14&lt;&gt;GAME!C4,OR(GAME!C5="",A14&lt;&gt;GAME!C5),OR(GAME!C6="",A14&lt;&gt;GAME!C6),OR(GAME!C7="",A14&lt;&gt;GAME!C7))</f>
        <v/>
      </c>
      <c r="C14" s="18">
        <f>A14+SUM(GAME!C5:C7)+(7-COUNTA(GAME!C5:C7))*(130-A14-SUM(GAME!C5:C7))/(16-COUNTA(GAME!C5:C7))</f>
        <v/>
      </c>
      <c r="D14" s="18">
        <f>IF(A14&gt;7.65,C14-REFERENCE!B5,C14+REFERENCE!B5)</f>
        <v/>
      </c>
      <c r="E14" s="19">
        <f>IF(AND(B14,GAME!C31&lt;&gt;""),EXP(-((C14-GAME!C31)^2)/(2*GAME!F5^2)),0)</f>
        <v/>
      </c>
      <c r="F14" s="19">
        <f>IF(AND(B14,GAME!C31&lt;&gt;""),EXP(-((D14-GAME!C31)^2)/(2*GAME!F5^2)),0)</f>
        <v/>
      </c>
      <c r="G14" s="20">
        <f>IF(GAME!C31="",IF(B14,1/COUNTIF(B4:B20,TRUE),0),IF(B14,(GAME!F4*E14+(1-GAME!F4)*F14)/SUMPRODUCT(GAME!F4*E4:E20+(1-GAME!F4)*F4:F20),0))</f>
        <v/>
      </c>
    </row>
    <row r="15">
      <c r="A15" t="n">
        <v>11</v>
      </c>
      <c r="B15">
        <f>AND(A15&lt;&gt;GAME!C4,OR(GAME!C5="",A15&lt;&gt;GAME!C5),OR(GAME!C6="",A15&lt;&gt;GAME!C6),OR(GAME!C7="",A15&lt;&gt;GAME!C7))</f>
        <v/>
      </c>
      <c r="C15" s="18">
        <f>A15+SUM(GAME!C5:C7)+(7-COUNTA(GAME!C5:C7))*(130-A15-SUM(GAME!C5:C7))/(16-COUNTA(GAME!C5:C7))</f>
        <v/>
      </c>
      <c r="D15" s="18">
        <f>IF(A15&gt;7.65,C15-REFERENCE!B5,C15+REFERENCE!B5)</f>
        <v/>
      </c>
      <c r="E15" s="19">
        <f>IF(AND(B15,GAME!C31&lt;&gt;""),EXP(-((C15-GAME!C31)^2)/(2*GAME!F5^2)),0)</f>
        <v/>
      </c>
      <c r="F15" s="19">
        <f>IF(AND(B15,GAME!C31&lt;&gt;""),EXP(-((D15-GAME!C31)^2)/(2*GAME!F5^2)),0)</f>
        <v/>
      </c>
      <c r="G15" s="20">
        <f>IF(GAME!C31="",IF(B15,1/COUNTIF(B4:B20,TRUE),0),IF(B15,(GAME!F4*E15+(1-GAME!F4)*F15)/SUMPRODUCT(GAME!F4*E4:E20+(1-GAME!F4)*F4:F20),0))</f>
        <v/>
      </c>
    </row>
    <row r="16">
      <c r="A16" t="n">
        <v>12</v>
      </c>
      <c r="B16">
        <f>AND(A16&lt;&gt;GAME!C4,OR(GAME!C5="",A16&lt;&gt;GAME!C5),OR(GAME!C6="",A16&lt;&gt;GAME!C6),OR(GAME!C7="",A16&lt;&gt;GAME!C7))</f>
        <v/>
      </c>
      <c r="C16" s="18">
        <f>A16+SUM(GAME!C5:C7)+(7-COUNTA(GAME!C5:C7))*(130-A16-SUM(GAME!C5:C7))/(16-COUNTA(GAME!C5:C7))</f>
        <v/>
      </c>
      <c r="D16" s="18">
        <f>IF(A16&gt;7.65,C16-REFERENCE!B5,C16+REFERENCE!B5)</f>
        <v/>
      </c>
      <c r="E16" s="19">
        <f>IF(AND(B16,GAME!C31&lt;&gt;""),EXP(-((C16-GAME!C31)^2)/(2*GAME!F5^2)),0)</f>
        <v/>
      </c>
      <c r="F16" s="19">
        <f>IF(AND(B16,GAME!C31&lt;&gt;""),EXP(-((D16-GAME!C31)^2)/(2*GAME!F5^2)),0)</f>
        <v/>
      </c>
      <c r="G16" s="20">
        <f>IF(GAME!C31="",IF(B16,1/COUNTIF(B4:B20,TRUE),0),IF(B16,(GAME!F4*E16+(1-GAME!F4)*F16)/SUMPRODUCT(GAME!F4*E4:E20+(1-GAME!F4)*F4:F20),0))</f>
        <v/>
      </c>
    </row>
    <row r="17">
      <c r="A17" t="n">
        <v>13</v>
      </c>
      <c r="B17">
        <f>AND(A17&lt;&gt;GAME!C4,OR(GAME!C5="",A17&lt;&gt;GAME!C5),OR(GAME!C6="",A17&lt;&gt;GAME!C6),OR(GAME!C7="",A17&lt;&gt;GAME!C7))</f>
        <v/>
      </c>
      <c r="C17" s="18">
        <f>A17+SUM(GAME!C5:C7)+(7-COUNTA(GAME!C5:C7))*(130-A17-SUM(GAME!C5:C7))/(16-COUNTA(GAME!C5:C7))</f>
        <v/>
      </c>
      <c r="D17" s="18">
        <f>IF(A17&gt;7.65,C17-REFERENCE!B5,C17+REFERENCE!B5)</f>
        <v/>
      </c>
      <c r="E17" s="19">
        <f>IF(AND(B17,GAME!C31&lt;&gt;""),EXP(-((C17-GAME!C31)^2)/(2*GAME!F5^2)),0)</f>
        <v/>
      </c>
      <c r="F17" s="19">
        <f>IF(AND(B17,GAME!C31&lt;&gt;""),EXP(-((D17-GAME!C31)^2)/(2*GAME!F5^2)),0)</f>
        <v/>
      </c>
      <c r="G17" s="20">
        <f>IF(GAME!C31="",IF(B17,1/COUNTIF(B4:B20,TRUE),0),IF(B17,(GAME!F4*E17+(1-GAME!F4)*F17)/SUMPRODUCT(GAME!F4*E4:E20+(1-GAME!F4)*F4:F20),0))</f>
        <v/>
      </c>
    </row>
    <row r="18">
      <c r="A18" t="n">
        <v>14</v>
      </c>
      <c r="B18">
        <f>AND(A18&lt;&gt;GAME!C4,OR(GAME!C5="",A18&lt;&gt;GAME!C5),OR(GAME!C6="",A18&lt;&gt;GAME!C6),OR(GAME!C7="",A18&lt;&gt;GAME!C7))</f>
        <v/>
      </c>
      <c r="C18" s="18">
        <f>A18+SUM(GAME!C5:C7)+(7-COUNTA(GAME!C5:C7))*(130-A18-SUM(GAME!C5:C7))/(16-COUNTA(GAME!C5:C7))</f>
        <v/>
      </c>
      <c r="D18" s="18">
        <f>IF(A18&gt;7.65,C18-REFERENCE!B5,C18+REFERENCE!B5)</f>
        <v/>
      </c>
      <c r="E18" s="19">
        <f>IF(AND(B18,GAME!C31&lt;&gt;""),EXP(-((C18-GAME!C31)^2)/(2*GAME!F5^2)),0)</f>
        <v/>
      </c>
      <c r="F18" s="19">
        <f>IF(AND(B18,GAME!C31&lt;&gt;""),EXP(-((D18-GAME!C31)^2)/(2*GAME!F5^2)),0)</f>
        <v/>
      </c>
      <c r="G18" s="20">
        <f>IF(GAME!C31="",IF(B18,1/COUNTIF(B4:B20,TRUE),0),IF(B18,(GAME!F4*E18+(1-GAME!F4)*F18)/SUMPRODUCT(GAME!F4*E4:E20+(1-GAME!F4)*F4:F20),0))</f>
        <v/>
      </c>
    </row>
    <row r="19">
      <c r="A19" t="n">
        <v>15</v>
      </c>
      <c r="B19">
        <f>AND(A19&lt;&gt;GAME!C4,OR(GAME!C5="",A19&lt;&gt;GAME!C5),OR(GAME!C6="",A19&lt;&gt;GAME!C6),OR(GAME!C7="",A19&lt;&gt;GAME!C7))</f>
        <v/>
      </c>
      <c r="C19" s="18">
        <f>A19+SUM(GAME!C5:C7)+(7-COUNTA(GAME!C5:C7))*(130-A19-SUM(GAME!C5:C7))/(16-COUNTA(GAME!C5:C7))</f>
        <v/>
      </c>
      <c r="D19" s="18">
        <f>IF(A19&gt;7.65,C19-REFERENCE!B5,C19+REFERENCE!B5)</f>
        <v/>
      </c>
      <c r="E19" s="19">
        <f>IF(AND(B19,GAME!C31&lt;&gt;""),EXP(-((C19-GAME!C31)^2)/(2*GAME!F5^2)),0)</f>
        <v/>
      </c>
      <c r="F19" s="19">
        <f>IF(AND(B19,GAME!C31&lt;&gt;""),EXP(-((D19-GAME!C31)^2)/(2*GAME!F5^2)),0)</f>
        <v/>
      </c>
      <c r="G19" s="20">
        <f>IF(GAME!C31="",IF(B19,1/COUNTIF(B4:B20,TRUE),0),IF(B19,(GAME!F4*E19+(1-GAME!F4)*F19)/SUMPRODUCT(GAME!F4*E4:E20+(1-GAME!F4)*F4:F20),0))</f>
        <v/>
      </c>
    </row>
    <row r="20">
      <c r="A20" t="n">
        <v>20</v>
      </c>
      <c r="B20">
        <f>AND(A20&lt;&gt;GAME!C4,OR(GAME!C5="",A20&lt;&gt;GAME!C5),OR(GAME!C6="",A20&lt;&gt;GAME!C6),OR(GAME!C7="",A20&lt;&gt;GAME!C7))</f>
        <v/>
      </c>
      <c r="C20" s="18">
        <f>A20+SUM(GAME!C5:C7)+(7-COUNTA(GAME!C5:C7))*(130-A20-SUM(GAME!C5:C7))/(16-COUNTA(GAME!C5:C7))</f>
        <v/>
      </c>
      <c r="D20" s="18">
        <f>IF(A20&gt;7.65,C20-REFERENCE!B5,C20+REFERENCE!B5)</f>
        <v/>
      </c>
      <c r="E20" s="19">
        <f>IF(AND(B20,GAME!C31&lt;&gt;""),EXP(-((C20-GAME!C31)^2)/(2*GAME!F5^2)),0)</f>
        <v/>
      </c>
      <c r="F20" s="19">
        <f>IF(AND(B20,GAME!C31&lt;&gt;""),EXP(-((D20-GAME!C31)^2)/(2*GAME!F5^2)),0)</f>
        <v/>
      </c>
      <c r="G20" s="20">
        <f>IF(GAME!C31="",IF(B20,1/COUNTIF(B4:B20,TRUE),0),IF(B20,(GAME!F4*E20+(1-GAME!F4)*F20)/SUMPRODUCT(GAME!F4*E4:E20+(1-GAME!F4)*F4:F20),0))</f>
        <v/>
      </c>
    </row>
    <row r="21">
      <c r="A21" s="2" t="inlineStr">
        <is>
          <t>Opponent 2</t>
        </is>
      </c>
      <c r="C21" s="16" t="inlineStr">
        <is>
          <t>Obs Mid → GAME!C32</t>
        </is>
      </c>
    </row>
    <row r="22">
      <c r="A22" s="17" t="inlineStr">
        <is>
          <t>Card</t>
        </is>
      </c>
      <c r="B22" s="17" t="inlineStr">
        <is>
          <t>Poss?</t>
        </is>
      </c>
      <c r="C22" s="17" t="inlineStr">
        <is>
          <t>Naive EV</t>
        </is>
      </c>
      <c r="D22" s="17" t="inlineStr">
        <is>
          <t>Bluff EV</t>
        </is>
      </c>
      <c r="E22" s="17" t="inlineStr">
        <is>
          <t>L(naive)</t>
        </is>
      </c>
      <c r="F22" s="17" t="inlineStr">
        <is>
          <t>L(bluff)</t>
        </is>
      </c>
      <c r="G22" s="17" t="inlineStr">
        <is>
          <t>P(card)</t>
        </is>
      </c>
    </row>
    <row r="23">
      <c r="A23" t="n">
        <v>-10</v>
      </c>
      <c r="B23">
        <f>AND(A23&lt;&gt;GAME!C4,OR(GAME!C5="",A23&lt;&gt;GAME!C5),OR(GAME!C6="",A23&lt;&gt;GAME!C6),OR(GAME!C7="",A23&lt;&gt;GAME!C7))</f>
        <v/>
      </c>
      <c r="C23" s="18">
        <f>A23+SUM(GAME!C5:C7)+(7-COUNTA(GAME!C5:C7))*(130-A23-SUM(GAME!C5:C7))/(16-COUNTA(GAME!C5:C7))</f>
        <v/>
      </c>
      <c r="D23" s="18">
        <f>IF(A23&gt;7.65,C23-REFERENCE!B5,C23+REFERENCE!B5)</f>
        <v/>
      </c>
      <c r="E23" s="19">
        <f>IF(AND(B23,GAME!C32&lt;&gt;""),EXP(-((C23-GAME!C32)^2)/(2*GAME!F5^2)),0)</f>
        <v/>
      </c>
      <c r="F23" s="19">
        <f>IF(AND(B23,GAME!C32&lt;&gt;""),EXP(-((D23-GAME!C32)^2)/(2*GAME!F5^2)),0)</f>
        <v/>
      </c>
      <c r="G23" s="20">
        <f>IF(GAME!C32="",IF(B23,1/COUNTIF(B23:B39,TRUE),0),IF(B23,(GAME!F4*E23+(1-GAME!F4)*F23)/SUMPRODUCT(GAME!F4*E23:E39+(1-GAME!F4)*F23:F39),0))</f>
        <v/>
      </c>
    </row>
    <row r="24">
      <c r="A24" t="n">
        <v>1</v>
      </c>
      <c r="B24">
        <f>AND(A24&lt;&gt;GAME!C4,OR(GAME!C5="",A24&lt;&gt;GAME!C5),OR(GAME!C6="",A24&lt;&gt;GAME!C6),OR(GAME!C7="",A24&lt;&gt;GAME!C7))</f>
        <v/>
      </c>
      <c r="C24" s="18">
        <f>A24+SUM(GAME!C5:C7)+(7-COUNTA(GAME!C5:C7))*(130-A24-SUM(GAME!C5:C7))/(16-COUNTA(GAME!C5:C7))</f>
        <v/>
      </c>
      <c r="D24" s="18">
        <f>IF(A24&gt;7.65,C24-REFERENCE!B5,C24+REFERENCE!B5)</f>
        <v/>
      </c>
      <c r="E24" s="19">
        <f>IF(AND(B24,GAME!C32&lt;&gt;""),EXP(-((C24-GAME!C32)^2)/(2*GAME!F5^2)),0)</f>
        <v/>
      </c>
      <c r="F24" s="19">
        <f>IF(AND(B24,GAME!C32&lt;&gt;""),EXP(-((D24-GAME!C32)^2)/(2*GAME!F5^2)),0)</f>
        <v/>
      </c>
      <c r="G24" s="20">
        <f>IF(GAME!C32="",IF(B24,1/COUNTIF(B23:B39,TRUE),0),IF(B24,(GAME!F4*E24+(1-GAME!F4)*F24)/SUMPRODUCT(GAME!F4*E23:E39+(1-GAME!F4)*F23:F39),0))</f>
        <v/>
      </c>
    </row>
    <row r="25">
      <c r="A25" t="n">
        <v>2</v>
      </c>
      <c r="B25">
        <f>AND(A25&lt;&gt;GAME!C4,OR(GAME!C5="",A25&lt;&gt;GAME!C5),OR(GAME!C6="",A25&lt;&gt;GAME!C6),OR(GAME!C7="",A25&lt;&gt;GAME!C7))</f>
        <v/>
      </c>
      <c r="C25" s="18">
        <f>A25+SUM(GAME!C5:C7)+(7-COUNTA(GAME!C5:C7))*(130-A25-SUM(GAME!C5:C7))/(16-COUNTA(GAME!C5:C7))</f>
        <v/>
      </c>
      <c r="D25" s="18">
        <f>IF(A25&gt;7.65,C25-REFERENCE!B5,C25+REFERENCE!B5)</f>
        <v/>
      </c>
      <c r="E25" s="19">
        <f>IF(AND(B25,GAME!C32&lt;&gt;""),EXP(-((C25-GAME!C32)^2)/(2*GAME!F5^2)),0)</f>
        <v/>
      </c>
      <c r="F25" s="19">
        <f>IF(AND(B25,GAME!C32&lt;&gt;""),EXP(-((D25-GAME!C32)^2)/(2*GAME!F5^2)),0)</f>
        <v/>
      </c>
      <c r="G25" s="20">
        <f>IF(GAME!C32="",IF(B25,1/COUNTIF(B23:B39,TRUE),0),IF(B25,(GAME!F4*E25+(1-GAME!F4)*F25)/SUMPRODUCT(GAME!F4*E23:E39+(1-GAME!F4)*F23:F39),0))</f>
        <v/>
      </c>
    </row>
    <row r="26">
      <c r="A26" t="n">
        <v>3</v>
      </c>
      <c r="B26">
        <f>AND(A26&lt;&gt;GAME!C4,OR(GAME!C5="",A26&lt;&gt;GAME!C5),OR(GAME!C6="",A26&lt;&gt;GAME!C6),OR(GAME!C7="",A26&lt;&gt;GAME!C7))</f>
        <v/>
      </c>
      <c r="C26" s="18">
        <f>A26+SUM(GAME!C5:C7)+(7-COUNTA(GAME!C5:C7))*(130-A26-SUM(GAME!C5:C7))/(16-COUNTA(GAME!C5:C7))</f>
        <v/>
      </c>
      <c r="D26" s="18">
        <f>IF(A26&gt;7.65,C26-REFERENCE!B5,C26+REFERENCE!B5)</f>
        <v/>
      </c>
      <c r="E26" s="19">
        <f>IF(AND(B26,GAME!C32&lt;&gt;""),EXP(-((C26-GAME!C32)^2)/(2*GAME!F5^2)),0)</f>
        <v/>
      </c>
      <c r="F26" s="19">
        <f>IF(AND(B26,GAME!C32&lt;&gt;""),EXP(-((D26-GAME!C32)^2)/(2*GAME!F5^2)),0)</f>
        <v/>
      </c>
      <c r="G26" s="20">
        <f>IF(GAME!C32="",IF(B26,1/COUNTIF(B23:B39,TRUE),0),IF(B26,(GAME!F4*E26+(1-GAME!F4)*F26)/SUMPRODUCT(GAME!F4*E23:E39+(1-GAME!F4)*F23:F39),0))</f>
        <v/>
      </c>
    </row>
    <row r="27">
      <c r="A27" t="n">
        <v>4</v>
      </c>
      <c r="B27">
        <f>AND(A27&lt;&gt;GAME!C4,OR(GAME!C5="",A27&lt;&gt;GAME!C5),OR(GAME!C6="",A27&lt;&gt;GAME!C6),OR(GAME!C7="",A27&lt;&gt;GAME!C7))</f>
        <v/>
      </c>
      <c r="C27" s="18">
        <f>A27+SUM(GAME!C5:C7)+(7-COUNTA(GAME!C5:C7))*(130-A27-SUM(GAME!C5:C7))/(16-COUNTA(GAME!C5:C7))</f>
        <v/>
      </c>
      <c r="D27" s="18">
        <f>IF(A27&gt;7.65,C27-REFERENCE!B5,C27+REFERENCE!B5)</f>
        <v/>
      </c>
      <c r="E27" s="19">
        <f>IF(AND(B27,GAME!C32&lt;&gt;""),EXP(-((C27-GAME!C32)^2)/(2*GAME!F5^2)),0)</f>
        <v/>
      </c>
      <c r="F27" s="19">
        <f>IF(AND(B27,GAME!C32&lt;&gt;""),EXP(-((D27-GAME!C32)^2)/(2*GAME!F5^2)),0)</f>
        <v/>
      </c>
      <c r="G27" s="20">
        <f>IF(GAME!C32="",IF(B27,1/COUNTIF(B23:B39,TRUE),0),IF(B27,(GAME!F4*E27+(1-GAME!F4)*F27)/SUMPRODUCT(GAME!F4*E23:E39+(1-GAME!F4)*F23:F39),0))</f>
        <v/>
      </c>
    </row>
    <row r="28">
      <c r="A28" t="n">
        <v>5</v>
      </c>
      <c r="B28">
        <f>AND(A28&lt;&gt;GAME!C4,OR(GAME!C5="",A28&lt;&gt;GAME!C5),OR(GAME!C6="",A28&lt;&gt;GAME!C6),OR(GAME!C7="",A28&lt;&gt;GAME!C7))</f>
        <v/>
      </c>
      <c r="C28" s="18">
        <f>A28+SUM(GAME!C5:C7)+(7-COUNTA(GAME!C5:C7))*(130-A28-SUM(GAME!C5:C7))/(16-COUNTA(GAME!C5:C7))</f>
        <v/>
      </c>
      <c r="D28" s="18">
        <f>IF(A28&gt;7.65,C28-REFERENCE!B5,C28+REFERENCE!B5)</f>
        <v/>
      </c>
      <c r="E28" s="19">
        <f>IF(AND(B28,GAME!C32&lt;&gt;""),EXP(-((C28-GAME!C32)^2)/(2*GAME!F5^2)),0)</f>
        <v/>
      </c>
      <c r="F28" s="19">
        <f>IF(AND(B28,GAME!C32&lt;&gt;""),EXP(-((D28-GAME!C32)^2)/(2*GAME!F5^2)),0)</f>
        <v/>
      </c>
      <c r="G28" s="20">
        <f>IF(GAME!C32="",IF(B28,1/COUNTIF(B23:B39,TRUE),0),IF(B28,(GAME!F4*E28+(1-GAME!F4)*F28)/SUMPRODUCT(GAME!F4*E23:E39+(1-GAME!F4)*F23:F39),0))</f>
        <v/>
      </c>
    </row>
    <row r="29">
      <c r="A29" t="n">
        <v>6</v>
      </c>
      <c r="B29">
        <f>AND(A29&lt;&gt;GAME!C4,OR(GAME!C5="",A29&lt;&gt;GAME!C5),OR(GAME!C6="",A29&lt;&gt;GAME!C6),OR(GAME!C7="",A29&lt;&gt;GAME!C7))</f>
        <v/>
      </c>
      <c r="C29" s="18">
        <f>A29+SUM(GAME!C5:C7)+(7-COUNTA(GAME!C5:C7))*(130-A29-SUM(GAME!C5:C7))/(16-COUNTA(GAME!C5:C7))</f>
        <v/>
      </c>
      <c r="D29" s="18">
        <f>IF(A29&gt;7.65,C29-REFERENCE!B5,C29+REFERENCE!B5)</f>
        <v/>
      </c>
      <c r="E29" s="19">
        <f>IF(AND(B29,GAME!C32&lt;&gt;""),EXP(-((C29-GAME!C32)^2)/(2*GAME!F5^2)),0)</f>
        <v/>
      </c>
      <c r="F29" s="19">
        <f>IF(AND(B29,GAME!C32&lt;&gt;""),EXP(-((D29-GAME!C32)^2)/(2*GAME!F5^2)),0)</f>
        <v/>
      </c>
      <c r="G29" s="20">
        <f>IF(GAME!C32="",IF(B29,1/COUNTIF(B23:B39,TRUE),0),IF(B29,(GAME!F4*E29+(1-GAME!F4)*F29)/SUMPRODUCT(GAME!F4*E23:E39+(1-GAME!F4)*F23:F39),0))</f>
        <v/>
      </c>
    </row>
    <row r="30">
      <c r="A30" t="n">
        <v>7</v>
      </c>
      <c r="B30">
        <f>AND(A30&lt;&gt;GAME!C4,OR(GAME!C5="",A30&lt;&gt;GAME!C5),OR(GAME!C6="",A30&lt;&gt;GAME!C6),OR(GAME!C7="",A30&lt;&gt;GAME!C7))</f>
        <v/>
      </c>
      <c r="C30" s="18">
        <f>A30+SUM(GAME!C5:C7)+(7-COUNTA(GAME!C5:C7))*(130-A30-SUM(GAME!C5:C7))/(16-COUNTA(GAME!C5:C7))</f>
        <v/>
      </c>
      <c r="D30" s="18">
        <f>IF(A30&gt;7.65,C30-REFERENCE!B5,C30+REFERENCE!B5)</f>
        <v/>
      </c>
      <c r="E30" s="19">
        <f>IF(AND(B30,GAME!C32&lt;&gt;""),EXP(-((C30-GAME!C32)^2)/(2*GAME!F5^2)),0)</f>
        <v/>
      </c>
      <c r="F30" s="19">
        <f>IF(AND(B30,GAME!C32&lt;&gt;""),EXP(-((D30-GAME!C32)^2)/(2*GAME!F5^2)),0)</f>
        <v/>
      </c>
      <c r="G30" s="20">
        <f>IF(GAME!C32="",IF(B30,1/COUNTIF(B23:B39,TRUE),0),IF(B30,(GAME!F4*E30+(1-GAME!F4)*F30)/SUMPRODUCT(GAME!F4*E23:E39+(1-GAME!F4)*F23:F39),0))</f>
        <v/>
      </c>
    </row>
    <row r="31">
      <c r="A31" t="n">
        <v>8</v>
      </c>
      <c r="B31">
        <f>AND(A31&lt;&gt;GAME!C4,OR(GAME!C5="",A31&lt;&gt;GAME!C5),OR(GAME!C6="",A31&lt;&gt;GAME!C6),OR(GAME!C7="",A31&lt;&gt;GAME!C7))</f>
        <v/>
      </c>
      <c r="C31" s="18">
        <f>A31+SUM(GAME!C5:C7)+(7-COUNTA(GAME!C5:C7))*(130-A31-SUM(GAME!C5:C7))/(16-COUNTA(GAME!C5:C7))</f>
        <v/>
      </c>
      <c r="D31" s="18">
        <f>IF(A31&gt;7.65,C31-REFERENCE!B5,C31+REFERENCE!B5)</f>
        <v/>
      </c>
      <c r="E31" s="19">
        <f>IF(AND(B31,GAME!C32&lt;&gt;""),EXP(-((C31-GAME!C32)^2)/(2*GAME!F5^2)),0)</f>
        <v/>
      </c>
      <c r="F31" s="19">
        <f>IF(AND(B31,GAME!C32&lt;&gt;""),EXP(-((D31-GAME!C32)^2)/(2*GAME!F5^2)),0)</f>
        <v/>
      </c>
      <c r="G31" s="20">
        <f>IF(GAME!C32="",IF(B31,1/COUNTIF(B23:B39,TRUE),0),IF(B31,(GAME!F4*E31+(1-GAME!F4)*F31)/SUMPRODUCT(GAME!F4*E23:E39+(1-GAME!F4)*F23:F39),0))</f>
        <v/>
      </c>
    </row>
    <row r="32">
      <c r="A32" t="n">
        <v>9</v>
      </c>
      <c r="B32">
        <f>AND(A32&lt;&gt;GAME!C4,OR(GAME!C5="",A32&lt;&gt;GAME!C5),OR(GAME!C6="",A32&lt;&gt;GAME!C6),OR(GAME!C7="",A32&lt;&gt;GAME!C7))</f>
        <v/>
      </c>
      <c r="C32" s="18">
        <f>A32+SUM(GAME!C5:C7)+(7-COUNTA(GAME!C5:C7))*(130-A32-SUM(GAME!C5:C7))/(16-COUNTA(GAME!C5:C7))</f>
        <v/>
      </c>
      <c r="D32" s="18">
        <f>IF(A32&gt;7.65,C32-REFERENCE!B5,C32+REFERENCE!B5)</f>
        <v/>
      </c>
      <c r="E32" s="19">
        <f>IF(AND(B32,GAME!C32&lt;&gt;""),EXP(-((C32-GAME!C32)^2)/(2*GAME!F5^2)),0)</f>
        <v/>
      </c>
      <c r="F32" s="19">
        <f>IF(AND(B32,GAME!C32&lt;&gt;""),EXP(-((D32-GAME!C32)^2)/(2*GAME!F5^2)),0)</f>
        <v/>
      </c>
      <c r="G32" s="20">
        <f>IF(GAME!C32="",IF(B32,1/COUNTIF(B23:B39,TRUE),0),IF(B32,(GAME!F4*E32+(1-GAME!F4)*F32)/SUMPRODUCT(GAME!F4*E23:E39+(1-GAME!F4)*F23:F39),0))</f>
        <v/>
      </c>
    </row>
    <row r="33">
      <c r="A33" t="n">
        <v>10</v>
      </c>
      <c r="B33">
        <f>AND(A33&lt;&gt;GAME!C4,OR(GAME!C5="",A33&lt;&gt;GAME!C5),OR(GAME!C6="",A33&lt;&gt;GAME!C6),OR(GAME!C7="",A33&lt;&gt;GAME!C7))</f>
        <v/>
      </c>
      <c r="C33" s="18">
        <f>A33+SUM(GAME!C5:C7)+(7-COUNTA(GAME!C5:C7))*(130-A33-SUM(GAME!C5:C7))/(16-COUNTA(GAME!C5:C7))</f>
        <v/>
      </c>
      <c r="D33" s="18">
        <f>IF(A33&gt;7.65,C33-REFERENCE!B5,C33+REFERENCE!B5)</f>
        <v/>
      </c>
      <c r="E33" s="19">
        <f>IF(AND(B33,GAME!C32&lt;&gt;""),EXP(-((C33-GAME!C32)^2)/(2*GAME!F5^2)),0)</f>
        <v/>
      </c>
      <c r="F33" s="19">
        <f>IF(AND(B33,GAME!C32&lt;&gt;""),EXP(-((D33-GAME!C32)^2)/(2*GAME!F5^2)),0)</f>
        <v/>
      </c>
      <c r="G33" s="20">
        <f>IF(GAME!C32="",IF(B33,1/COUNTIF(B23:B39,TRUE),0),IF(B33,(GAME!F4*E33+(1-GAME!F4)*F33)/SUMPRODUCT(GAME!F4*E23:E39+(1-GAME!F4)*F23:F39),0))</f>
        <v/>
      </c>
    </row>
    <row r="34">
      <c r="A34" t="n">
        <v>11</v>
      </c>
      <c r="B34">
        <f>AND(A34&lt;&gt;GAME!C4,OR(GAME!C5="",A34&lt;&gt;GAME!C5),OR(GAME!C6="",A34&lt;&gt;GAME!C6),OR(GAME!C7="",A34&lt;&gt;GAME!C7))</f>
        <v/>
      </c>
      <c r="C34" s="18">
        <f>A34+SUM(GAME!C5:C7)+(7-COUNTA(GAME!C5:C7))*(130-A34-SUM(GAME!C5:C7))/(16-COUNTA(GAME!C5:C7))</f>
        <v/>
      </c>
      <c r="D34" s="18">
        <f>IF(A34&gt;7.65,C34-REFERENCE!B5,C34+REFERENCE!B5)</f>
        <v/>
      </c>
      <c r="E34" s="19">
        <f>IF(AND(B34,GAME!C32&lt;&gt;""),EXP(-((C34-GAME!C32)^2)/(2*GAME!F5^2)),0)</f>
        <v/>
      </c>
      <c r="F34" s="19">
        <f>IF(AND(B34,GAME!C32&lt;&gt;""),EXP(-((D34-GAME!C32)^2)/(2*GAME!F5^2)),0)</f>
        <v/>
      </c>
      <c r="G34" s="20">
        <f>IF(GAME!C32="",IF(B34,1/COUNTIF(B23:B39,TRUE),0),IF(B34,(GAME!F4*E34+(1-GAME!F4)*F34)/SUMPRODUCT(GAME!F4*E23:E39+(1-GAME!F4)*F23:F39),0))</f>
        <v/>
      </c>
    </row>
    <row r="35">
      <c r="A35" t="n">
        <v>12</v>
      </c>
      <c r="B35">
        <f>AND(A35&lt;&gt;GAME!C4,OR(GAME!C5="",A35&lt;&gt;GAME!C5),OR(GAME!C6="",A35&lt;&gt;GAME!C6),OR(GAME!C7="",A35&lt;&gt;GAME!C7))</f>
        <v/>
      </c>
      <c r="C35" s="18">
        <f>A35+SUM(GAME!C5:C7)+(7-COUNTA(GAME!C5:C7))*(130-A35-SUM(GAME!C5:C7))/(16-COUNTA(GAME!C5:C7))</f>
        <v/>
      </c>
      <c r="D35" s="18">
        <f>IF(A35&gt;7.65,C35-REFERENCE!B5,C35+REFERENCE!B5)</f>
        <v/>
      </c>
      <c r="E35" s="19">
        <f>IF(AND(B35,GAME!C32&lt;&gt;""),EXP(-((C35-GAME!C32)^2)/(2*GAME!F5^2)),0)</f>
        <v/>
      </c>
      <c r="F35" s="19">
        <f>IF(AND(B35,GAME!C32&lt;&gt;""),EXP(-((D35-GAME!C32)^2)/(2*GAME!F5^2)),0)</f>
        <v/>
      </c>
      <c r="G35" s="20">
        <f>IF(GAME!C32="",IF(B35,1/COUNTIF(B23:B39,TRUE),0),IF(B35,(GAME!F4*E35+(1-GAME!F4)*F35)/SUMPRODUCT(GAME!F4*E23:E39+(1-GAME!F4)*F23:F39),0))</f>
        <v/>
      </c>
    </row>
    <row r="36">
      <c r="A36" t="n">
        <v>13</v>
      </c>
      <c r="B36">
        <f>AND(A36&lt;&gt;GAME!C4,OR(GAME!C5="",A36&lt;&gt;GAME!C5),OR(GAME!C6="",A36&lt;&gt;GAME!C6),OR(GAME!C7="",A36&lt;&gt;GAME!C7))</f>
        <v/>
      </c>
      <c r="C36" s="18">
        <f>A36+SUM(GAME!C5:C7)+(7-COUNTA(GAME!C5:C7))*(130-A36-SUM(GAME!C5:C7))/(16-COUNTA(GAME!C5:C7))</f>
        <v/>
      </c>
      <c r="D36" s="18">
        <f>IF(A36&gt;7.65,C36-REFERENCE!B5,C36+REFERENCE!B5)</f>
        <v/>
      </c>
      <c r="E36" s="19">
        <f>IF(AND(B36,GAME!C32&lt;&gt;""),EXP(-((C36-GAME!C32)^2)/(2*GAME!F5^2)),0)</f>
        <v/>
      </c>
      <c r="F36" s="19">
        <f>IF(AND(B36,GAME!C32&lt;&gt;""),EXP(-((D36-GAME!C32)^2)/(2*GAME!F5^2)),0)</f>
        <v/>
      </c>
      <c r="G36" s="20">
        <f>IF(GAME!C32="",IF(B36,1/COUNTIF(B23:B39,TRUE),0),IF(B36,(GAME!F4*E36+(1-GAME!F4)*F36)/SUMPRODUCT(GAME!F4*E23:E39+(1-GAME!F4)*F23:F39),0))</f>
        <v/>
      </c>
    </row>
    <row r="37">
      <c r="A37" t="n">
        <v>14</v>
      </c>
      <c r="B37">
        <f>AND(A37&lt;&gt;GAME!C4,OR(GAME!C5="",A37&lt;&gt;GAME!C5),OR(GAME!C6="",A37&lt;&gt;GAME!C6),OR(GAME!C7="",A37&lt;&gt;GAME!C7))</f>
        <v/>
      </c>
      <c r="C37" s="18">
        <f>A37+SUM(GAME!C5:C7)+(7-COUNTA(GAME!C5:C7))*(130-A37-SUM(GAME!C5:C7))/(16-COUNTA(GAME!C5:C7))</f>
        <v/>
      </c>
      <c r="D37" s="18">
        <f>IF(A37&gt;7.65,C37-REFERENCE!B5,C37+REFERENCE!B5)</f>
        <v/>
      </c>
      <c r="E37" s="19">
        <f>IF(AND(B37,GAME!C32&lt;&gt;""),EXP(-((C37-GAME!C32)^2)/(2*GAME!F5^2)),0)</f>
        <v/>
      </c>
      <c r="F37" s="19">
        <f>IF(AND(B37,GAME!C32&lt;&gt;""),EXP(-((D37-GAME!C32)^2)/(2*GAME!F5^2)),0)</f>
        <v/>
      </c>
      <c r="G37" s="20">
        <f>IF(GAME!C32="",IF(B37,1/COUNTIF(B23:B39,TRUE),0),IF(B37,(GAME!F4*E37+(1-GAME!F4)*F37)/SUMPRODUCT(GAME!F4*E23:E39+(1-GAME!F4)*F23:F39),0))</f>
        <v/>
      </c>
    </row>
    <row r="38">
      <c r="A38" t="n">
        <v>15</v>
      </c>
      <c r="B38">
        <f>AND(A38&lt;&gt;GAME!C4,OR(GAME!C5="",A38&lt;&gt;GAME!C5),OR(GAME!C6="",A38&lt;&gt;GAME!C6),OR(GAME!C7="",A38&lt;&gt;GAME!C7))</f>
        <v/>
      </c>
      <c r="C38" s="18">
        <f>A38+SUM(GAME!C5:C7)+(7-COUNTA(GAME!C5:C7))*(130-A38-SUM(GAME!C5:C7))/(16-COUNTA(GAME!C5:C7))</f>
        <v/>
      </c>
      <c r="D38" s="18">
        <f>IF(A38&gt;7.65,C38-REFERENCE!B5,C38+REFERENCE!B5)</f>
        <v/>
      </c>
      <c r="E38" s="19">
        <f>IF(AND(B38,GAME!C32&lt;&gt;""),EXP(-((C38-GAME!C32)^2)/(2*GAME!F5^2)),0)</f>
        <v/>
      </c>
      <c r="F38" s="19">
        <f>IF(AND(B38,GAME!C32&lt;&gt;""),EXP(-((D38-GAME!C32)^2)/(2*GAME!F5^2)),0)</f>
        <v/>
      </c>
      <c r="G38" s="20">
        <f>IF(GAME!C32="",IF(B38,1/COUNTIF(B23:B39,TRUE),0),IF(B38,(GAME!F4*E38+(1-GAME!F4)*F38)/SUMPRODUCT(GAME!F4*E23:E39+(1-GAME!F4)*F23:F39),0))</f>
        <v/>
      </c>
    </row>
    <row r="39">
      <c r="A39" t="n">
        <v>20</v>
      </c>
      <c r="B39">
        <f>AND(A39&lt;&gt;GAME!C4,OR(GAME!C5="",A39&lt;&gt;GAME!C5),OR(GAME!C6="",A39&lt;&gt;GAME!C6),OR(GAME!C7="",A39&lt;&gt;GAME!C7))</f>
        <v/>
      </c>
      <c r="C39" s="18">
        <f>A39+SUM(GAME!C5:C7)+(7-COUNTA(GAME!C5:C7))*(130-A39-SUM(GAME!C5:C7))/(16-COUNTA(GAME!C5:C7))</f>
        <v/>
      </c>
      <c r="D39" s="18">
        <f>IF(A39&gt;7.65,C39-REFERENCE!B5,C39+REFERENCE!B5)</f>
        <v/>
      </c>
      <c r="E39" s="19">
        <f>IF(AND(B39,GAME!C32&lt;&gt;""),EXP(-((C39-GAME!C32)^2)/(2*GAME!F5^2)),0)</f>
        <v/>
      </c>
      <c r="F39" s="19">
        <f>IF(AND(B39,GAME!C32&lt;&gt;""),EXP(-((D39-GAME!C32)^2)/(2*GAME!F5^2)),0)</f>
        <v/>
      </c>
      <c r="G39" s="20">
        <f>IF(GAME!C32="",IF(B39,1/COUNTIF(B23:B39,TRUE),0),IF(B39,(GAME!F4*E39+(1-GAME!F4)*F39)/SUMPRODUCT(GAME!F4*E23:E39+(1-GAME!F4)*F23:F39),0))</f>
        <v/>
      </c>
    </row>
    <row r="40">
      <c r="A40" s="2" t="inlineStr">
        <is>
          <t>Opponent 3</t>
        </is>
      </c>
      <c r="C40" s="16" t="inlineStr">
        <is>
          <t>Obs Mid → GAME!C33</t>
        </is>
      </c>
    </row>
    <row r="41">
      <c r="A41" s="17" t="inlineStr">
        <is>
          <t>Card</t>
        </is>
      </c>
      <c r="B41" s="17" t="inlineStr">
        <is>
          <t>Poss?</t>
        </is>
      </c>
      <c r="C41" s="17" t="inlineStr">
        <is>
          <t>Naive EV</t>
        </is>
      </c>
      <c r="D41" s="17" t="inlineStr">
        <is>
          <t>Bluff EV</t>
        </is>
      </c>
      <c r="E41" s="17" t="inlineStr">
        <is>
          <t>L(naive)</t>
        </is>
      </c>
      <c r="F41" s="17" t="inlineStr">
        <is>
          <t>L(bluff)</t>
        </is>
      </c>
      <c r="G41" s="17" t="inlineStr">
        <is>
          <t>P(card)</t>
        </is>
      </c>
    </row>
    <row r="42">
      <c r="A42" t="n">
        <v>-10</v>
      </c>
      <c r="B42">
        <f>AND(A42&lt;&gt;GAME!C4,OR(GAME!C5="",A42&lt;&gt;GAME!C5),OR(GAME!C6="",A42&lt;&gt;GAME!C6),OR(GAME!C7="",A42&lt;&gt;GAME!C7))</f>
        <v/>
      </c>
      <c r="C42" s="18">
        <f>A42+SUM(GAME!C5:C7)+(7-COUNTA(GAME!C5:C7))*(130-A42-SUM(GAME!C5:C7))/(16-COUNTA(GAME!C5:C7))</f>
        <v/>
      </c>
      <c r="D42" s="18">
        <f>IF(A42&gt;7.65,C42-REFERENCE!B5,C42+REFERENCE!B5)</f>
        <v/>
      </c>
      <c r="E42" s="19">
        <f>IF(AND(B42,GAME!C33&lt;&gt;""),EXP(-((C42-GAME!C33)^2)/(2*GAME!F5^2)),0)</f>
        <v/>
      </c>
      <c r="F42" s="19">
        <f>IF(AND(B42,GAME!C33&lt;&gt;""),EXP(-((D42-GAME!C33)^2)/(2*GAME!F5^2)),0)</f>
        <v/>
      </c>
      <c r="G42" s="20">
        <f>IF(GAME!C33="",IF(B42,1/COUNTIF(B42:B58,TRUE),0),IF(B42,(GAME!F4*E42+(1-GAME!F4)*F42)/SUMPRODUCT(GAME!F4*E42:E58+(1-GAME!F4)*F42:F58),0))</f>
        <v/>
      </c>
    </row>
    <row r="43">
      <c r="A43" t="n">
        <v>1</v>
      </c>
      <c r="B43">
        <f>AND(A43&lt;&gt;GAME!C4,OR(GAME!C5="",A43&lt;&gt;GAME!C5),OR(GAME!C6="",A43&lt;&gt;GAME!C6),OR(GAME!C7="",A43&lt;&gt;GAME!C7))</f>
        <v/>
      </c>
      <c r="C43" s="18">
        <f>A43+SUM(GAME!C5:C7)+(7-COUNTA(GAME!C5:C7))*(130-A43-SUM(GAME!C5:C7))/(16-COUNTA(GAME!C5:C7))</f>
        <v/>
      </c>
      <c r="D43" s="18">
        <f>IF(A43&gt;7.65,C43-REFERENCE!B5,C43+REFERENCE!B5)</f>
        <v/>
      </c>
      <c r="E43" s="19">
        <f>IF(AND(B43,GAME!C33&lt;&gt;""),EXP(-((C43-GAME!C33)^2)/(2*GAME!F5^2)),0)</f>
        <v/>
      </c>
      <c r="F43" s="19">
        <f>IF(AND(B43,GAME!C33&lt;&gt;""),EXP(-((D43-GAME!C33)^2)/(2*GAME!F5^2)),0)</f>
        <v/>
      </c>
      <c r="G43" s="20">
        <f>IF(GAME!C33="",IF(B43,1/COUNTIF(B42:B58,TRUE),0),IF(B43,(GAME!F4*E43+(1-GAME!F4)*F43)/SUMPRODUCT(GAME!F4*E42:E58+(1-GAME!F4)*F42:F58),0))</f>
        <v/>
      </c>
    </row>
    <row r="44">
      <c r="A44" t="n">
        <v>2</v>
      </c>
      <c r="B44">
        <f>AND(A44&lt;&gt;GAME!C4,OR(GAME!C5="",A44&lt;&gt;GAME!C5),OR(GAME!C6="",A44&lt;&gt;GAME!C6),OR(GAME!C7="",A44&lt;&gt;GAME!C7))</f>
        <v/>
      </c>
      <c r="C44" s="18">
        <f>A44+SUM(GAME!C5:C7)+(7-COUNTA(GAME!C5:C7))*(130-A44-SUM(GAME!C5:C7))/(16-COUNTA(GAME!C5:C7))</f>
        <v/>
      </c>
      <c r="D44" s="18">
        <f>IF(A44&gt;7.65,C44-REFERENCE!B5,C44+REFERENCE!B5)</f>
        <v/>
      </c>
      <c r="E44" s="19">
        <f>IF(AND(B44,GAME!C33&lt;&gt;""),EXP(-((C44-GAME!C33)^2)/(2*GAME!F5^2)),0)</f>
        <v/>
      </c>
      <c r="F44" s="19">
        <f>IF(AND(B44,GAME!C33&lt;&gt;""),EXP(-((D44-GAME!C33)^2)/(2*GAME!F5^2)),0)</f>
        <v/>
      </c>
      <c r="G44" s="20">
        <f>IF(GAME!C33="",IF(B44,1/COUNTIF(B42:B58,TRUE),0),IF(B44,(GAME!F4*E44+(1-GAME!F4)*F44)/SUMPRODUCT(GAME!F4*E42:E58+(1-GAME!F4)*F42:F58),0))</f>
        <v/>
      </c>
    </row>
    <row r="45">
      <c r="A45" t="n">
        <v>3</v>
      </c>
      <c r="B45">
        <f>AND(A45&lt;&gt;GAME!C4,OR(GAME!C5="",A45&lt;&gt;GAME!C5),OR(GAME!C6="",A45&lt;&gt;GAME!C6),OR(GAME!C7="",A45&lt;&gt;GAME!C7))</f>
        <v/>
      </c>
      <c r="C45" s="18">
        <f>A45+SUM(GAME!C5:C7)+(7-COUNTA(GAME!C5:C7))*(130-A45-SUM(GAME!C5:C7))/(16-COUNTA(GAME!C5:C7))</f>
        <v/>
      </c>
      <c r="D45" s="18">
        <f>IF(A45&gt;7.65,C45-REFERENCE!B5,C45+REFERENCE!B5)</f>
        <v/>
      </c>
      <c r="E45" s="19">
        <f>IF(AND(B45,GAME!C33&lt;&gt;""),EXP(-((C45-GAME!C33)^2)/(2*GAME!F5^2)),0)</f>
        <v/>
      </c>
      <c r="F45" s="19">
        <f>IF(AND(B45,GAME!C33&lt;&gt;""),EXP(-((D45-GAME!C33)^2)/(2*GAME!F5^2)),0)</f>
        <v/>
      </c>
      <c r="G45" s="20">
        <f>IF(GAME!C33="",IF(B45,1/COUNTIF(B42:B58,TRUE),0),IF(B45,(GAME!F4*E45+(1-GAME!F4)*F45)/SUMPRODUCT(GAME!F4*E42:E58+(1-GAME!F4)*F42:F58),0))</f>
        <v/>
      </c>
    </row>
    <row r="46">
      <c r="A46" t="n">
        <v>4</v>
      </c>
      <c r="B46">
        <f>AND(A46&lt;&gt;GAME!C4,OR(GAME!C5="",A46&lt;&gt;GAME!C5),OR(GAME!C6="",A46&lt;&gt;GAME!C6),OR(GAME!C7="",A46&lt;&gt;GAME!C7))</f>
        <v/>
      </c>
      <c r="C46" s="18">
        <f>A46+SUM(GAME!C5:C7)+(7-COUNTA(GAME!C5:C7))*(130-A46-SUM(GAME!C5:C7))/(16-COUNTA(GAME!C5:C7))</f>
        <v/>
      </c>
      <c r="D46" s="18">
        <f>IF(A46&gt;7.65,C46-REFERENCE!B5,C46+REFERENCE!B5)</f>
        <v/>
      </c>
      <c r="E46" s="19">
        <f>IF(AND(B46,GAME!C33&lt;&gt;""),EXP(-((C46-GAME!C33)^2)/(2*GAME!F5^2)),0)</f>
        <v/>
      </c>
      <c r="F46" s="19">
        <f>IF(AND(B46,GAME!C33&lt;&gt;""),EXP(-((D46-GAME!C33)^2)/(2*GAME!F5^2)),0)</f>
        <v/>
      </c>
      <c r="G46" s="20">
        <f>IF(GAME!C33="",IF(B46,1/COUNTIF(B42:B58,TRUE),0),IF(B46,(GAME!F4*E46+(1-GAME!F4)*F46)/SUMPRODUCT(GAME!F4*E42:E58+(1-GAME!F4)*F42:F58),0))</f>
        <v/>
      </c>
    </row>
    <row r="47">
      <c r="A47" t="n">
        <v>5</v>
      </c>
      <c r="B47">
        <f>AND(A47&lt;&gt;GAME!C4,OR(GAME!C5="",A47&lt;&gt;GAME!C5),OR(GAME!C6="",A47&lt;&gt;GAME!C6),OR(GAME!C7="",A47&lt;&gt;GAME!C7))</f>
        <v/>
      </c>
      <c r="C47" s="18">
        <f>A47+SUM(GAME!C5:C7)+(7-COUNTA(GAME!C5:C7))*(130-A47-SUM(GAME!C5:C7))/(16-COUNTA(GAME!C5:C7))</f>
        <v/>
      </c>
      <c r="D47" s="18">
        <f>IF(A47&gt;7.65,C47-REFERENCE!B5,C47+REFERENCE!B5)</f>
        <v/>
      </c>
      <c r="E47" s="19">
        <f>IF(AND(B47,GAME!C33&lt;&gt;""),EXP(-((C47-GAME!C33)^2)/(2*GAME!F5^2)),0)</f>
        <v/>
      </c>
      <c r="F47" s="19">
        <f>IF(AND(B47,GAME!C33&lt;&gt;""),EXP(-((D47-GAME!C33)^2)/(2*GAME!F5^2)),0)</f>
        <v/>
      </c>
      <c r="G47" s="20">
        <f>IF(GAME!C33="",IF(B47,1/COUNTIF(B42:B58,TRUE),0),IF(B47,(GAME!F4*E47+(1-GAME!F4)*F47)/SUMPRODUCT(GAME!F4*E42:E58+(1-GAME!F4)*F42:F58),0))</f>
        <v/>
      </c>
    </row>
    <row r="48">
      <c r="A48" t="n">
        <v>6</v>
      </c>
      <c r="B48">
        <f>AND(A48&lt;&gt;GAME!C4,OR(GAME!C5="",A48&lt;&gt;GAME!C5),OR(GAME!C6="",A48&lt;&gt;GAME!C6),OR(GAME!C7="",A48&lt;&gt;GAME!C7))</f>
        <v/>
      </c>
      <c r="C48" s="18">
        <f>A48+SUM(GAME!C5:C7)+(7-COUNTA(GAME!C5:C7))*(130-A48-SUM(GAME!C5:C7))/(16-COUNTA(GAME!C5:C7))</f>
        <v/>
      </c>
      <c r="D48" s="18">
        <f>IF(A48&gt;7.65,C48-REFERENCE!B5,C48+REFERENCE!B5)</f>
        <v/>
      </c>
      <c r="E48" s="19">
        <f>IF(AND(B48,GAME!C33&lt;&gt;""),EXP(-((C48-GAME!C33)^2)/(2*GAME!F5^2)),0)</f>
        <v/>
      </c>
      <c r="F48" s="19">
        <f>IF(AND(B48,GAME!C33&lt;&gt;""),EXP(-((D48-GAME!C33)^2)/(2*GAME!F5^2)),0)</f>
        <v/>
      </c>
      <c r="G48" s="20">
        <f>IF(GAME!C33="",IF(B48,1/COUNTIF(B42:B58,TRUE),0),IF(B48,(GAME!F4*E48+(1-GAME!F4)*F48)/SUMPRODUCT(GAME!F4*E42:E58+(1-GAME!F4)*F42:F58),0))</f>
        <v/>
      </c>
    </row>
    <row r="49">
      <c r="A49" t="n">
        <v>7</v>
      </c>
      <c r="B49">
        <f>AND(A49&lt;&gt;GAME!C4,OR(GAME!C5="",A49&lt;&gt;GAME!C5),OR(GAME!C6="",A49&lt;&gt;GAME!C6),OR(GAME!C7="",A49&lt;&gt;GAME!C7))</f>
        <v/>
      </c>
      <c r="C49" s="18">
        <f>A49+SUM(GAME!C5:C7)+(7-COUNTA(GAME!C5:C7))*(130-A49-SUM(GAME!C5:C7))/(16-COUNTA(GAME!C5:C7))</f>
        <v/>
      </c>
      <c r="D49" s="18">
        <f>IF(A49&gt;7.65,C49-REFERENCE!B5,C49+REFERENCE!B5)</f>
        <v/>
      </c>
      <c r="E49" s="19">
        <f>IF(AND(B49,GAME!C33&lt;&gt;""),EXP(-((C49-GAME!C33)^2)/(2*GAME!F5^2)),0)</f>
        <v/>
      </c>
      <c r="F49" s="19">
        <f>IF(AND(B49,GAME!C33&lt;&gt;""),EXP(-((D49-GAME!C33)^2)/(2*GAME!F5^2)),0)</f>
        <v/>
      </c>
      <c r="G49" s="20">
        <f>IF(GAME!C33="",IF(B49,1/COUNTIF(B42:B58,TRUE),0),IF(B49,(GAME!F4*E49+(1-GAME!F4)*F49)/SUMPRODUCT(GAME!F4*E42:E58+(1-GAME!F4)*F42:F58),0))</f>
        <v/>
      </c>
    </row>
    <row r="50">
      <c r="A50" t="n">
        <v>8</v>
      </c>
      <c r="B50">
        <f>AND(A50&lt;&gt;GAME!C4,OR(GAME!C5="",A50&lt;&gt;GAME!C5),OR(GAME!C6="",A50&lt;&gt;GAME!C6),OR(GAME!C7="",A50&lt;&gt;GAME!C7))</f>
        <v/>
      </c>
      <c r="C50" s="18">
        <f>A50+SUM(GAME!C5:C7)+(7-COUNTA(GAME!C5:C7))*(130-A50-SUM(GAME!C5:C7))/(16-COUNTA(GAME!C5:C7))</f>
        <v/>
      </c>
      <c r="D50" s="18">
        <f>IF(A50&gt;7.65,C50-REFERENCE!B5,C50+REFERENCE!B5)</f>
        <v/>
      </c>
      <c r="E50" s="19">
        <f>IF(AND(B50,GAME!C33&lt;&gt;""),EXP(-((C50-GAME!C33)^2)/(2*GAME!F5^2)),0)</f>
        <v/>
      </c>
      <c r="F50" s="19">
        <f>IF(AND(B50,GAME!C33&lt;&gt;""),EXP(-((D50-GAME!C33)^2)/(2*GAME!F5^2)),0)</f>
        <v/>
      </c>
      <c r="G50" s="20">
        <f>IF(GAME!C33="",IF(B50,1/COUNTIF(B42:B58,TRUE),0),IF(B50,(GAME!F4*E50+(1-GAME!F4)*F50)/SUMPRODUCT(GAME!F4*E42:E58+(1-GAME!F4)*F42:F58),0))</f>
        <v/>
      </c>
    </row>
    <row r="51">
      <c r="A51" t="n">
        <v>9</v>
      </c>
      <c r="B51">
        <f>AND(A51&lt;&gt;GAME!C4,OR(GAME!C5="",A51&lt;&gt;GAME!C5),OR(GAME!C6="",A51&lt;&gt;GAME!C6),OR(GAME!C7="",A51&lt;&gt;GAME!C7))</f>
        <v/>
      </c>
      <c r="C51" s="18">
        <f>A51+SUM(GAME!C5:C7)+(7-COUNTA(GAME!C5:C7))*(130-A51-SUM(GAME!C5:C7))/(16-COUNTA(GAME!C5:C7))</f>
        <v/>
      </c>
      <c r="D51" s="18">
        <f>IF(A51&gt;7.65,C51-REFERENCE!B5,C51+REFERENCE!B5)</f>
        <v/>
      </c>
      <c r="E51" s="19">
        <f>IF(AND(B51,GAME!C33&lt;&gt;""),EXP(-((C51-GAME!C33)^2)/(2*GAME!F5^2)),0)</f>
        <v/>
      </c>
      <c r="F51" s="19">
        <f>IF(AND(B51,GAME!C33&lt;&gt;""),EXP(-((D51-GAME!C33)^2)/(2*GAME!F5^2)),0)</f>
        <v/>
      </c>
      <c r="G51" s="20">
        <f>IF(GAME!C33="",IF(B51,1/COUNTIF(B42:B58,TRUE),0),IF(B51,(GAME!F4*E51+(1-GAME!F4)*F51)/SUMPRODUCT(GAME!F4*E42:E58+(1-GAME!F4)*F42:F58),0))</f>
        <v/>
      </c>
    </row>
    <row r="52">
      <c r="A52" t="n">
        <v>10</v>
      </c>
      <c r="B52">
        <f>AND(A52&lt;&gt;GAME!C4,OR(GAME!C5="",A52&lt;&gt;GAME!C5),OR(GAME!C6="",A52&lt;&gt;GAME!C6),OR(GAME!C7="",A52&lt;&gt;GAME!C7))</f>
        <v/>
      </c>
      <c r="C52" s="18">
        <f>A52+SUM(GAME!C5:C7)+(7-COUNTA(GAME!C5:C7))*(130-A52-SUM(GAME!C5:C7))/(16-COUNTA(GAME!C5:C7))</f>
        <v/>
      </c>
      <c r="D52" s="18">
        <f>IF(A52&gt;7.65,C52-REFERENCE!B5,C52+REFERENCE!B5)</f>
        <v/>
      </c>
      <c r="E52" s="19">
        <f>IF(AND(B52,GAME!C33&lt;&gt;""),EXP(-((C52-GAME!C33)^2)/(2*GAME!F5^2)),0)</f>
        <v/>
      </c>
      <c r="F52" s="19">
        <f>IF(AND(B52,GAME!C33&lt;&gt;""),EXP(-((D52-GAME!C33)^2)/(2*GAME!F5^2)),0)</f>
        <v/>
      </c>
      <c r="G52" s="20">
        <f>IF(GAME!C33="",IF(B52,1/COUNTIF(B42:B58,TRUE),0),IF(B52,(GAME!F4*E52+(1-GAME!F4)*F52)/SUMPRODUCT(GAME!F4*E42:E58+(1-GAME!F4)*F42:F58),0))</f>
        <v/>
      </c>
    </row>
    <row r="53">
      <c r="A53" t="n">
        <v>11</v>
      </c>
      <c r="B53">
        <f>AND(A53&lt;&gt;GAME!C4,OR(GAME!C5="",A53&lt;&gt;GAME!C5),OR(GAME!C6="",A53&lt;&gt;GAME!C6),OR(GAME!C7="",A53&lt;&gt;GAME!C7))</f>
        <v/>
      </c>
      <c r="C53" s="18">
        <f>A53+SUM(GAME!C5:C7)+(7-COUNTA(GAME!C5:C7))*(130-A53-SUM(GAME!C5:C7))/(16-COUNTA(GAME!C5:C7))</f>
        <v/>
      </c>
      <c r="D53" s="18">
        <f>IF(A53&gt;7.65,C53-REFERENCE!B5,C53+REFERENCE!B5)</f>
        <v/>
      </c>
      <c r="E53" s="19">
        <f>IF(AND(B53,GAME!C33&lt;&gt;""),EXP(-((C53-GAME!C33)^2)/(2*GAME!F5^2)),0)</f>
        <v/>
      </c>
      <c r="F53" s="19">
        <f>IF(AND(B53,GAME!C33&lt;&gt;""),EXP(-((D53-GAME!C33)^2)/(2*GAME!F5^2)),0)</f>
        <v/>
      </c>
      <c r="G53" s="20">
        <f>IF(GAME!C33="",IF(B53,1/COUNTIF(B42:B58,TRUE),0),IF(B53,(GAME!F4*E53+(1-GAME!F4)*F53)/SUMPRODUCT(GAME!F4*E42:E58+(1-GAME!F4)*F42:F58),0))</f>
        <v/>
      </c>
    </row>
    <row r="54">
      <c r="A54" t="n">
        <v>12</v>
      </c>
      <c r="B54">
        <f>AND(A54&lt;&gt;GAME!C4,OR(GAME!C5="",A54&lt;&gt;GAME!C5),OR(GAME!C6="",A54&lt;&gt;GAME!C6),OR(GAME!C7="",A54&lt;&gt;GAME!C7))</f>
        <v/>
      </c>
      <c r="C54" s="18">
        <f>A54+SUM(GAME!C5:C7)+(7-COUNTA(GAME!C5:C7))*(130-A54-SUM(GAME!C5:C7))/(16-COUNTA(GAME!C5:C7))</f>
        <v/>
      </c>
      <c r="D54" s="18">
        <f>IF(A54&gt;7.65,C54-REFERENCE!B5,C54+REFERENCE!B5)</f>
        <v/>
      </c>
      <c r="E54" s="19">
        <f>IF(AND(B54,GAME!C33&lt;&gt;""),EXP(-((C54-GAME!C33)^2)/(2*GAME!F5^2)),0)</f>
        <v/>
      </c>
      <c r="F54" s="19">
        <f>IF(AND(B54,GAME!C33&lt;&gt;""),EXP(-((D54-GAME!C33)^2)/(2*GAME!F5^2)),0)</f>
        <v/>
      </c>
      <c r="G54" s="20">
        <f>IF(GAME!C33="",IF(B54,1/COUNTIF(B42:B58,TRUE),0),IF(B54,(GAME!F4*E54+(1-GAME!F4)*F54)/SUMPRODUCT(GAME!F4*E42:E58+(1-GAME!F4)*F42:F58),0))</f>
        <v/>
      </c>
    </row>
    <row r="55">
      <c r="A55" t="n">
        <v>13</v>
      </c>
      <c r="B55">
        <f>AND(A55&lt;&gt;GAME!C4,OR(GAME!C5="",A55&lt;&gt;GAME!C5),OR(GAME!C6="",A55&lt;&gt;GAME!C6),OR(GAME!C7="",A55&lt;&gt;GAME!C7))</f>
        <v/>
      </c>
      <c r="C55" s="18">
        <f>A55+SUM(GAME!C5:C7)+(7-COUNTA(GAME!C5:C7))*(130-A55-SUM(GAME!C5:C7))/(16-COUNTA(GAME!C5:C7))</f>
        <v/>
      </c>
      <c r="D55" s="18">
        <f>IF(A55&gt;7.65,C55-REFERENCE!B5,C55+REFERENCE!B5)</f>
        <v/>
      </c>
      <c r="E55" s="19">
        <f>IF(AND(B55,GAME!C33&lt;&gt;""),EXP(-((C55-GAME!C33)^2)/(2*GAME!F5^2)),0)</f>
        <v/>
      </c>
      <c r="F55" s="19">
        <f>IF(AND(B55,GAME!C33&lt;&gt;""),EXP(-((D55-GAME!C33)^2)/(2*GAME!F5^2)),0)</f>
        <v/>
      </c>
      <c r="G55" s="20">
        <f>IF(GAME!C33="",IF(B55,1/COUNTIF(B42:B58,TRUE),0),IF(B55,(GAME!F4*E55+(1-GAME!F4)*F55)/SUMPRODUCT(GAME!F4*E42:E58+(1-GAME!F4)*F42:F58),0))</f>
        <v/>
      </c>
    </row>
    <row r="56">
      <c r="A56" t="n">
        <v>14</v>
      </c>
      <c r="B56">
        <f>AND(A56&lt;&gt;GAME!C4,OR(GAME!C5="",A56&lt;&gt;GAME!C5),OR(GAME!C6="",A56&lt;&gt;GAME!C6),OR(GAME!C7="",A56&lt;&gt;GAME!C7))</f>
        <v/>
      </c>
      <c r="C56" s="18">
        <f>A56+SUM(GAME!C5:C7)+(7-COUNTA(GAME!C5:C7))*(130-A56-SUM(GAME!C5:C7))/(16-COUNTA(GAME!C5:C7))</f>
        <v/>
      </c>
      <c r="D56" s="18">
        <f>IF(A56&gt;7.65,C56-REFERENCE!B5,C56+REFERENCE!B5)</f>
        <v/>
      </c>
      <c r="E56" s="19">
        <f>IF(AND(B56,GAME!C33&lt;&gt;""),EXP(-((C56-GAME!C33)^2)/(2*GAME!F5^2)),0)</f>
        <v/>
      </c>
      <c r="F56" s="19">
        <f>IF(AND(B56,GAME!C33&lt;&gt;""),EXP(-((D56-GAME!C33)^2)/(2*GAME!F5^2)),0)</f>
        <v/>
      </c>
      <c r="G56" s="20">
        <f>IF(GAME!C33="",IF(B56,1/COUNTIF(B42:B58,TRUE),0),IF(B56,(GAME!F4*E56+(1-GAME!F4)*F56)/SUMPRODUCT(GAME!F4*E42:E58+(1-GAME!F4)*F42:F58),0))</f>
        <v/>
      </c>
    </row>
    <row r="57">
      <c r="A57" t="n">
        <v>15</v>
      </c>
      <c r="B57">
        <f>AND(A57&lt;&gt;GAME!C4,OR(GAME!C5="",A57&lt;&gt;GAME!C5),OR(GAME!C6="",A57&lt;&gt;GAME!C6),OR(GAME!C7="",A57&lt;&gt;GAME!C7))</f>
        <v/>
      </c>
      <c r="C57" s="18">
        <f>A57+SUM(GAME!C5:C7)+(7-COUNTA(GAME!C5:C7))*(130-A57-SUM(GAME!C5:C7))/(16-COUNTA(GAME!C5:C7))</f>
        <v/>
      </c>
      <c r="D57" s="18">
        <f>IF(A57&gt;7.65,C57-REFERENCE!B5,C57+REFERENCE!B5)</f>
        <v/>
      </c>
      <c r="E57" s="19">
        <f>IF(AND(B57,GAME!C33&lt;&gt;""),EXP(-((C57-GAME!C33)^2)/(2*GAME!F5^2)),0)</f>
        <v/>
      </c>
      <c r="F57" s="19">
        <f>IF(AND(B57,GAME!C33&lt;&gt;""),EXP(-((D57-GAME!C33)^2)/(2*GAME!F5^2)),0)</f>
        <v/>
      </c>
      <c r="G57" s="20">
        <f>IF(GAME!C33="",IF(B57,1/COUNTIF(B42:B58,TRUE),0),IF(B57,(GAME!F4*E57+(1-GAME!F4)*F57)/SUMPRODUCT(GAME!F4*E42:E58+(1-GAME!F4)*F42:F58),0))</f>
        <v/>
      </c>
    </row>
    <row r="58">
      <c r="A58" t="n">
        <v>20</v>
      </c>
      <c r="B58">
        <f>AND(A58&lt;&gt;GAME!C4,OR(GAME!C5="",A58&lt;&gt;GAME!C5),OR(GAME!C6="",A58&lt;&gt;GAME!C6),OR(GAME!C7="",A58&lt;&gt;GAME!C7))</f>
        <v/>
      </c>
      <c r="C58" s="18">
        <f>A58+SUM(GAME!C5:C7)+(7-COUNTA(GAME!C5:C7))*(130-A58-SUM(GAME!C5:C7))/(16-COUNTA(GAME!C5:C7))</f>
        <v/>
      </c>
      <c r="D58" s="18">
        <f>IF(A58&gt;7.65,C58-REFERENCE!B5,C58+REFERENCE!B5)</f>
        <v/>
      </c>
      <c r="E58" s="19">
        <f>IF(AND(B58,GAME!C33&lt;&gt;""),EXP(-((C58-GAME!C33)^2)/(2*GAME!F5^2)),0)</f>
        <v/>
      </c>
      <c r="F58" s="19">
        <f>IF(AND(B58,GAME!C33&lt;&gt;""),EXP(-((D58-GAME!C33)^2)/(2*GAME!F5^2)),0)</f>
        <v/>
      </c>
      <c r="G58" s="20">
        <f>IF(GAME!C33="",IF(B58,1/COUNTIF(B42:B58,TRUE),0),IF(B58,(GAME!F4*E58+(1-GAME!F4)*F58)/SUMPRODUCT(GAME!F4*E42:E58+(1-GAME!F4)*F42:F58),0))</f>
        <v/>
      </c>
    </row>
    <row r="59">
      <c r="A59" s="2" t="inlineStr">
        <is>
          <t>Opponent 4</t>
        </is>
      </c>
      <c r="C59" s="16" t="inlineStr">
        <is>
          <t>Obs Mid → GAME!C34</t>
        </is>
      </c>
    </row>
    <row r="60">
      <c r="A60" s="17" t="inlineStr">
        <is>
          <t>Card</t>
        </is>
      </c>
      <c r="B60" s="17" t="inlineStr">
        <is>
          <t>Poss?</t>
        </is>
      </c>
      <c r="C60" s="17" t="inlineStr">
        <is>
          <t>Naive EV</t>
        </is>
      </c>
      <c r="D60" s="17" t="inlineStr">
        <is>
          <t>Bluff EV</t>
        </is>
      </c>
      <c r="E60" s="17" t="inlineStr">
        <is>
          <t>L(naive)</t>
        </is>
      </c>
      <c r="F60" s="17" t="inlineStr">
        <is>
          <t>L(bluff)</t>
        </is>
      </c>
      <c r="G60" s="17" t="inlineStr">
        <is>
          <t>P(card)</t>
        </is>
      </c>
    </row>
    <row r="61">
      <c r="A61" t="n">
        <v>-10</v>
      </c>
      <c r="B61">
        <f>AND(A61&lt;&gt;GAME!C4,OR(GAME!C5="",A61&lt;&gt;GAME!C5),OR(GAME!C6="",A61&lt;&gt;GAME!C6),OR(GAME!C7="",A61&lt;&gt;GAME!C7))</f>
        <v/>
      </c>
      <c r="C61" s="18">
        <f>A61+SUM(GAME!C5:C7)+(7-COUNTA(GAME!C5:C7))*(130-A61-SUM(GAME!C5:C7))/(16-COUNTA(GAME!C5:C7))</f>
        <v/>
      </c>
      <c r="D61" s="18">
        <f>IF(A61&gt;7.65,C61-REFERENCE!B5,C61+REFERENCE!B5)</f>
        <v/>
      </c>
      <c r="E61" s="19">
        <f>IF(AND(B61,GAME!C34&lt;&gt;""),EXP(-((C61-GAME!C34)^2)/(2*GAME!F5^2)),0)</f>
        <v/>
      </c>
      <c r="F61" s="19">
        <f>IF(AND(B61,GAME!C34&lt;&gt;""),EXP(-((D61-GAME!C34)^2)/(2*GAME!F5^2)),0)</f>
        <v/>
      </c>
      <c r="G61" s="20">
        <f>IF(GAME!C34="",IF(B61,1/COUNTIF(B61:B77,TRUE),0),IF(B61,(GAME!F4*E61+(1-GAME!F4)*F61)/SUMPRODUCT(GAME!F4*E61:E77+(1-GAME!F4)*F61:F77),0))</f>
        <v/>
      </c>
    </row>
    <row r="62">
      <c r="A62" t="n">
        <v>1</v>
      </c>
      <c r="B62">
        <f>AND(A62&lt;&gt;GAME!C4,OR(GAME!C5="",A62&lt;&gt;GAME!C5),OR(GAME!C6="",A62&lt;&gt;GAME!C6),OR(GAME!C7="",A62&lt;&gt;GAME!C7))</f>
        <v/>
      </c>
      <c r="C62" s="18">
        <f>A62+SUM(GAME!C5:C7)+(7-COUNTA(GAME!C5:C7))*(130-A62-SUM(GAME!C5:C7))/(16-COUNTA(GAME!C5:C7))</f>
        <v/>
      </c>
      <c r="D62" s="18">
        <f>IF(A62&gt;7.65,C62-REFERENCE!B5,C62+REFERENCE!B5)</f>
        <v/>
      </c>
      <c r="E62" s="19">
        <f>IF(AND(B62,GAME!C34&lt;&gt;""),EXP(-((C62-GAME!C34)^2)/(2*GAME!F5^2)),0)</f>
        <v/>
      </c>
      <c r="F62" s="19">
        <f>IF(AND(B62,GAME!C34&lt;&gt;""),EXP(-((D62-GAME!C34)^2)/(2*GAME!F5^2)),0)</f>
        <v/>
      </c>
      <c r="G62" s="20">
        <f>IF(GAME!C34="",IF(B62,1/COUNTIF(B61:B77,TRUE),0),IF(B62,(GAME!F4*E62+(1-GAME!F4)*F62)/SUMPRODUCT(GAME!F4*E61:E77+(1-GAME!F4)*F61:F77),0))</f>
        <v/>
      </c>
    </row>
    <row r="63">
      <c r="A63" t="n">
        <v>2</v>
      </c>
      <c r="B63">
        <f>AND(A63&lt;&gt;GAME!C4,OR(GAME!C5="",A63&lt;&gt;GAME!C5),OR(GAME!C6="",A63&lt;&gt;GAME!C6),OR(GAME!C7="",A63&lt;&gt;GAME!C7))</f>
        <v/>
      </c>
      <c r="C63" s="18">
        <f>A63+SUM(GAME!C5:C7)+(7-COUNTA(GAME!C5:C7))*(130-A63-SUM(GAME!C5:C7))/(16-COUNTA(GAME!C5:C7))</f>
        <v/>
      </c>
      <c r="D63" s="18">
        <f>IF(A63&gt;7.65,C63-REFERENCE!B5,C63+REFERENCE!B5)</f>
        <v/>
      </c>
      <c r="E63" s="19">
        <f>IF(AND(B63,GAME!C34&lt;&gt;""),EXP(-((C63-GAME!C34)^2)/(2*GAME!F5^2)),0)</f>
        <v/>
      </c>
      <c r="F63" s="19">
        <f>IF(AND(B63,GAME!C34&lt;&gt;""),EXP(-((D63-GAME!C34)^2)/(2*GAME!F5^2)),0)</f>
        <v/>
      </c>
      <c r="G63" s="20">
        <f>IF(GAME!C34="",IF(B63,1/COUNTIF(B61:B77,TRUE),0),IF(B63,(GAME!F4*E63+(1-GAME!F4)*F63)/SUMPRODUCT(GAME!F4*E61:E77+(1-GAME!F4)*F61:F77),0))</f>
        <v/>
      </c>
    </row>
    <row r="64">
      <c r="A64" t="n">
        <v>3</v>
      </c>
      <c r="B64">
        <f>AND(A64&lt;&gt;GAME!C4,OR(GAME!C5="",A64&lt;&gt;GAME!C5),OR(GAME!C6="",A64&lt;&gt;GAME!C6),OR(GAME!C7="",A64&lt;&gt;GAME!C7))</f>
        <v/>
      </c>
      <c r="C64" s="18">
        <f>A64+SUM(GAME!C5:C7)+(7-COUNTA(GAME!C5:C7))*(130-A64-SUM(GAME!C5:C7))/(16-COUNTA(GAME!C5:C7))</f>
        <v/>
      </c>
      <c r="D64" s="18">
        <f>IF(A64&gt;7.65,C64-REFERENCE!B5,C64+REFERENCE!B5)</f>
        <v/>
      </c>
      <c r="E64" s="19">
        <f>IF(AND(B64,GAME!C34&lt;&gt;""),EXP(-((C64-GAME!C34)^2)/(2*GAME!F5^2)),0)</f>
        <v/>
      </c>
      <c r="F64" s="19">
        <f>IF(AND(B64,GAME!C34&lt;&gt;""),EXP(-((D64-GAME!C34)^2)/(2*GAME!F5^2)),0)</f>
        <v/>
      </c>
      <c r="G64" s="20">
        <f>IF(GAME!C34="",IF(B64,1/COUNTIF(B61:B77,TRUE),0),IF(B64,(GAME!F4*E64+(1-GAME!F4)*F64)/SUMPRODUCT(GAME!F4*E61:E77+(1-GAME!F4)*F61:F77),0))</f>
        <v/>
      </c>
    </row>
    <row r="65">
      <c r="A65" t="n">
        <v>4</v>
      </c>
      <c r="B65">
        <f>AND(A65&lt;&gt;GAME!C4,OR(GAME!C5="",A65&lt;&gt;GAME!C5),OR(GAME!C6="",A65&lt;&gt;GAME!C6),OR(GAME!C7="",A65&lt;&gt;GAME!C7))</f>
        <v/>
      </c>
      <c r="C65" s="18">
        <f>A65+SUM(GAME!C5:C7)+(7-COUNTA(GAME!C5:C7))*(130-A65-SUM(GAME!C5:C7))/(16-COUNTA(GAME!C5:C7))</f>
        <v/>
      </c>
      <c r="D65" s="18">
        <f>IF(A65&gt;7.65,C65-REFERENCE!B5,C65+REFERENCE!B5)</f>
        <v/>
      </c>
      <c r="E65" s="19">
        <f>IF(AND(B65,GAME!C34&lt;&gt;""),EXP(-((C65-GAME!C34)^2)/(2*GAME!F5^2)),0)</f>
        <v/>
      </c>
      <c r="F65" s="19">
        <f>IF(AND(B65,GAME!C34&lt;&gt;""),EXP(-((D65-GAME!C34)^2)/(2*GAME!F5^2)),0)</f>
        <v/>
      </c>
      <c r="G65" s="20">
        <f>IF(GAME!C34="",IF(B65,1/COUNTIF(B61:B77,TRUE),0),IF(B65,(GAME!F4*E65+(1-GAME!F4)*F65)/SUMPRODUCT(GAME!F4*E61:E77+(1-GAME!F4)*F61:F77),0))</f>
        <v/>
      </c>
    </row>
    <row r="66">
      <c r="A66" t="n">
        <v>5</v>
      </c>
      <c r="B66">
        <f>AND(A66&lt;&gt;GAME!C4,OR(GAME!C5="",A66&lt;&gt;GAME!C5),OR(GAME!C6="",A66&lt;&gt;GAME!C6),OR(GAME!C7="",A66&lt;&gt;GAME!C7))</f>
        <v/>
      </c>
      <c r="C66" s="18">
        <f>A66+SUM(GAME!C5:C7)+(7-COUNTA(GAME!C5:C7))*(130-A66-SUM(GAME!C5:C7))/(16-COUNTA(GAME!C5:C7))</f>
        <v/>
      </c>
      <c r="D66" s="18">
        <f>IF(A66&gt;7.65,C66-REFERENCE!B5,C66+REFERENCE!B5)</f>
        <v/>
      </c>
      <c r="E66" s="19">
        <f>IF(AND(B66,GAME!C34&lt;&gt;""),EXP(-((C66-GAME!C34)^2)/(2*GAME!F5^2)),0)</f>
        <v/>
      </c>
      <c r="F66" s="19">
        <f>IF(AND(B66,GAME!C34&lt;&gt;""),EXP(-((D66-GAME!C34)^2)/(2*GAME!F5^2)),0)</f>
        <v/>
      </c>
      <c r="G66" s="20">
        <f>IF(GAME!C34="",IF(B66,1/COUNTIF(B61:B77,TRUE),0),IF(B66,(GAME!F4*E66+(1-GAME!F4)*F66)/SUMPRODUCT(GAME!F4*E61:E77+(1-GAME!F4)*F61:F77),0))</f>
        <v/>
      </c>
    </row>
    <row r="67">
      <c r="A67" t="n">
        <v>6</v>
      </c>
      <c r="B67">
        <f>AND(A67&lt;&gt;GAME!C4,OR(GAME!C5="",A67&lt;&gt;GAME!C5),OR(GAME!C6="",A67&lt;&gt;GAME!C6),OR(GAME!C7="",A67&lt;&gt;GAME!C7))</f>
        <v/>
      </c>
      <c r="C67" s="18">
        <f>A67+SUM(GAME!C5:C7)+(7-COUNTA(GAME!C5:C7))*(130-A67-SUM(GAME!C5:C7))/(16-COUNTA(GAME!C5:C7))</f>
        <v/>
      </c>
      <c r="D67" s="18">
        <f>IF(A67&gt;7.65,C67-REFERENCE!B5,C67+REFERENCE!B5)</f>
        <v/>
      </c>
      <c r="E67" s="19">
        <f>IF(AND(B67,GAME!C34&lt;&gt;""),EXP(-((C67-GAME!C34)^2)/(2*GAME!F5^2)),0)</f>
        <v/>
      </c>
      <c r="F67" s="19">
        <f>IF(AND(B67,GAME!C34&lt;&gt;""),EXP(-((D67-GAME!C34)^2)/(2*GAME!F5^2)),0)</f>
        <v/>
      </c>
      <c r="G67" s="20">
        <f>IF(GAME!C34="",IF(B67,1/COUNTIF(B61:B77,TRUE),0),IF(B67,(GAME!F4*E67+(1-GAME!F4)*F67)/SUMPRODUCT(GAME!F4*E61:E77+(1-GAME!F4)*F61:F77),0))</f>
        <v/>
      </c>
    </row>
    <row r="68">
      <c r="A68" t="n">
        <v>7</v>
      </c>
      <c r="B68">
        <f>AND(A68&lt;&gt;GAME!C4,OR(GAME!C5="",A68&lt;&gt;GAME!C5),OR(GAME!C6="",A68&lt;&gt;GAME!C6),OR(GAME!C7="",A68&lt;&gt;GAME!C7))</f>
        <v/>
      </c>
      <c r="C68" s="18">
        <f>A68+SUM(GAME!C5:C7)+(7-COUNTA(GAME!C5:C7))*(130-A68-SUM(GAME!C5:C7))/(16-COUNTA(GAME!C5:C7))</f>
        <v/>
      </c>
      <c r="D68" s="18">
        <f>IF(A68&gt;7.65,C68-REFERENCE!B5,C68+REFERENCE!B5)</f>
        <v/>
      </c>
      <c r="E68" s="19">
        <f>IF(AND(B68,GAME!C34&lt;&gt;""),EXP(-((C68-GAME!C34)^2)/(2*GAME!F5^2)),0)</f>
        <v/>
      </c>
      <c r="F68" s="19">
        <f>IF(AND(B68,GAME!C34&lt;&gt;""),EXP(-((D68-GAME!C34)^2)/(2*GAME!F5^2)),0)</f>
        <v/>
      </c>
      <c r="G68" s="20">
        <f>IF(GAME!C34="",IF(B68,1/COUNTIF(B61:B77,TRUE),0),IF(B68,(GAME!F4*E68+(1-GAME!F4)*F68)/SUMPRODUCT(GAME!F4*E61:E77+(1-GAME!F4)*F61:F77),0))</f>
        <v/>
      </c>
    </row>
    <row r="69">
      <c r="A69" t="n">
        <v>8</v>
      </c>
      <c r="B69">
        <f>AND(A69&lt;&gt;GAME!C4,OR(GAME!C5="",A69&lt;&gt;GAME!C5),OR(GAME!C6="",A69&lt;&gt;GAME!C6),OR(GAME!C7="",A69&lt;&gt;GAME!C7))</f>
        <v/>
      </c>
      <c r="C69" s="18">
        <f>A69+SUM(GAME!C5:C7)+(7-COUNTA(GAME!C5:C7))*(130-A69-SUM(GAME!C5:C7))/(16-COUNTA(GAME!C5:C7))</f>
        <v/>
      </c>
      <c r="D69" s="18">
        <f>IF(A69&gt;7.65,C69-REFERENCE!B5,C69+REFERENCE!B5)</f>
        <v/>
      </c>
      <c r="E69" s="19">
        <f>IF(AND(B69,GAME!C34&lt;&gt;""),EXP(-((C69-GAME!C34)^2)/(2*GAME!F5^2)),0)</f>
        <v/>
      </c>
      <c r="F69" s="19">
        <f>IF(AND(B69,GAME!C34&lt;&gt;""),EXP(-((D69-GAME!C34)^2)/(2*GAME!F5^2)),0)</f>
        <v/>
      </c>
      <c r="G69" s="20">
        <f>IF(GAME!C34="",IF(B69,1/COUNTIF(B61:B77,TRUE),0),IF(B69,(GAME!F4*E69+(1-GAME!F4)*F69)/SUMPRODUCT(GAME!F4*E61:E77+(1-GAME!F4)*F61:F77),0))</f>
        <v/>
      </c>
    </row>
    <row r="70">
      <c r="A70" t="n">
        <v>9</v>
      </c>
      <c r="B70">
        <f>AND(A70&lt;&gt;GAME!C4,OR(GAME!C5="",A70&lt;&gt;GAME!C5),OR(GAME!C6="",A70&lt;&gt;GAME!C6),OR(GAME!C7="",A70&lt;&gt;GAME!C7))</f>
        <v/>
      </c>
      <c r="C70" s="18">
        <f>A70+SUM(GAME!C5:C7)+(7-COUNTA(GAME!C5:C7))*(130-A70-SUM(GAME!C5:C7))/(16-COUNTA(GAME!C5:C7))</f>
        <v/>
      </c>
      <c r="D70" s="18">
        <f>IF(A70&gt;7.65,C70-REFERENCE!B5,C70+REFERENCE!B5)</f>
        <v/>
      </c>
      <c r="E70" s="19">
        <f>IF(AND(B70,GAME!C34&lt;&gt;""),EXP(-((C70-GAME!C34)^2)/(2*GAME!F5^2)),0)</f>
        <v/>
      </c>
      <c r="F70" s="19">
        <f>IF(AND(B70,GAME!C34&lt;&gt;""),EXP(-((D70-GAME!C34)^2)/(2*GAME!F5^2)),0)</f>
        <v/>
      </c>
      <c r="G70" s="20">
        <f>IF(GAME!C34="",IF(B70,1/COUNTIF(B61:B77,TRUE),0),IF(B70,(GAME!F4*E70+(1-GAME!F4)*F70)/SUMPRODUCT(GAME!F4*E61:E77+(1-GAME!F4)*F61:F77),0))</f>
        <v/>
      </c>
    </row>
    <row r="71">
      <c r="A71" t="n">
        <v>10</v>
      </c>
      <c r="B71">
        <f>AND(A71&lt;&gt;GAME!C4,OR(GAME!C5="",A71&lt;&gt;GAME!C5),OR(GAME!C6="",A71&lt;&gt;GAME!C6),OR(GAME!C7="",A71&lt;&gt;GAME!C7))</f>
        <v/>
      </c>
      <c r="C71" s="18">
        <f>A71+SUM(GAME!C5:C7)+(7-COUNTA(GAME!C5:C7))*(130-A71-SUM(GAME!C5:C7))/(16-COUNTA(GAME!C5:C7))</f>
        <v/>
      </c>
      <c r="D71" s="18">
        <f>IF(A71&gt;7.65,C71-REFERENCE!B5,C71+REFERENCE!B5)</f>
        <v/>
      </c>
      <c r="E71" s="19">
        <f>IF(AND(B71,GAME!C34&lt;&gt;""),EXP(-((C71-GAME!C34)^2)/(2*GAME!F5^2)),0)</f>
        <v/>
      </c>
      <c r="F71" s="19">
        <f>IF(AND(B71,GAME!C34&lt;&gt;""),EXP(-((D71-GAME!C34)^2)/(2*GAME!F5^2)),0)</f>
        <v/>
      </c>
      <c r="G71" s="20">
        <f>IF(GAME!C34="",IF(B71,1/COUNTIF(B61:B77,TRUE),0),IF(B71,(GAME!F4*E71+(1-GAME!F4)*F71)/SUMPRODUCT(GAME!F4*E61:E77+(1-GAME!F4)*F61:F77),0))</f>
        <v/>
      </c>
    </row>
    <row r="72">
      <c r="A72" t="n">
        <v>11</v>
      </c>
      <c r="B72">
        <f>AND(A72&lt;&gt;GAME!C4,OR(GAME!C5="",A72&lt;&gt;GAME!C5),OR(GAME!C6="",A72&lt;&gt;GAME!C6),OR(GAME!C7="",A72&lt;&gt;GAME!C7))</f>
        <v/>
      </c>
      <c r="C72" s="18">
        <f>A72+SUM(GAME!C5:C7)+(7-COUNTA(GAME!C5:C7))*(130-A72-SUM(GAME!C5:C7))/(16-COUNTA(GAME!C5:C7))</f>
        <v/>
      </c>
      <c r="D72" s="18">
        <f>IF(A72&gt;7.65,C72-REFERENCE!B5,C72+REFERENCE!B5)</f>
        <v/>
      </c>
      <c r="E72" s="19">
        <f>IF(AND(B72,GAME!C34&lt;&gt;""),EXP(-((C72-GAME!C34)^2)/(2*GAME!F5^2)),0)</f>
        <v/>
      </c>
      <c r="F72" s="19">
        <f>IF(AND(B72,GAME!C34&lt;&gt;""),EXP(-((D72-GAME!C34)^2)/(2*GAME!F5^2)),0)</f>
        <v/>
      </c>
      <c r="G72" s="20">
        <f>IF(GAME!C34="",IF(B72,1/COUNTIF(B61:B77,TRUE),0),IF(B72,(GAME!F4*E72+(1-GAME!F4)*F72)/SUMPRODUCT(GAME!F4*E61:E77+(1-GAME!F4)*F61:F77),0))</f>
        <v/>
      </c>
    </row>
    <row r="73">
      <c r="A73" t="n">
        <v>12</v>
      </c>
      <c r="B73">
        <f>AND(A73&lt;&gt;GAME!C4,OR(GAME!C5="",A73&lt;&gt;GAME!C5),OR(GAME!C6="",A73&lt;&gt;GAME!C6),OR(GAME!C7="",A73&lt;&gt;GAME!C7))</f>
        <v/>
      </c>
      <c r="C73" s="18">
        <f>A73+SUM(GAME!C5:C7)+(7-COUNTA(GAME!C5:C7))*(130-A73-SUM(GAME!C5:C7))/(16-COUNTA(GAME!C5:C7))</f>
        <v/>
      </c>
      <c r="D73" s="18">
        <f>IF(A73&gt;7.65,C73-REFERENCE!B5,C73+REFERENCE!B5)</f>
        <v/>
      </c>
      <c r="E73" s="19">
        <f>IF(AND(B73,GAME!C34&lt;&gt;""),EXP(-((C73-GAME!C34)^2)/(2*GAME!F5^2)),0)</f>
        <v/>
      </c>
      <c r="F73" s="19">
        <f>IF(AND(B73,GAME!C34&lt;&gt;""),EXP(-((D73-GAME!C34)^2)/(2*GAME!F5^2)),0)</f>
        <v/>
      </c>
      <c r="G73" s="20">
        <f>IF(GAME!C34="",IF(B73,1/COUNTIF(B61:B77,TRUE),0),IF(B73,(GAME!F4*E73+(1-GAME!F4)*F73)/SUMPRODUCT(GAME!F4*E61:E77+(1-GAME!F4)*F61:F77),0))</f>
        <v/>
      </c>
    </row>
    <row r="74">
      <c r="A74" t="n">
        <v>13</v>
      </c>
      <c r="B74">
        <f>AND(A74&lt;&gt;GAME!C4,OR(GAME!C5="",A74&lt;&gt;GAME!C5),OR(GAME!C6="",A74&lt;&gt;GAME!C6),OR(GAME!C7="",A74&lt;&gt;GAME!C7))</f>
        <v/>
      </c>
      <c r="C74" s="18">
        <f>A74+SUM(GAME!C5:C7)+(7-COUNTA(GAME!C5:C7))*(130-A74-SUM(GAME!C5:C7))/(16-COUNTA(GAME!C5:C7))</f>
        <v/>
      </c>
      <c r="D74" s="18">
        <f>IF(A74&gt;7.65,C74-REFERENCE!B5,C74+REFERENCE!B5)</f>
        <v/>
      </c>
      <c r="E74" s="19">
        <f>IF(AND(B74,GAME!C34&lt;&gt;""),EXP(-((C74-GAME!C34)^2)/(2*GAME!F5^2)),0)</f>
        <v/>
      </c>
      <c r="F74" s="19">
        <f>IF(AND(B74,GAME!C34&lt;&gt;""),EXP(-((D74-GAME!C34)^2)/(2*GAME!F5^2)),0)</f>
        <v/>
      </c>
      <c r="G74" s="20">
        <f>IF(GAME!C34="",IF(B74,1/COUNTIF(B61:B77,TRUE),0),IF(B74,(GAME!F4*E74+(1-GAME!F4)*F74)/SUMPRODUCT(GAME!F4*E61:E77+(1-GAME!F4)*F61:F77),0))</f>
        <v/>
      </c>
    </row>
    <row r="75">
      <c r="A75" t="n">
        <v>14</v>
      </c>
      <c r="B75">
        <f>AND(A75&lt;&gt;GAME!C4,OR(GAME!C5="",A75&lt;&gt;GAME!C5),OR(GAME!C6="",A75&lt;&gt;GAME!C6),OR(GAME!C7="",A75&lt;&gt;GAME!C7))</f>
        <v/>
      </c>
      <c r="C75" s="18">
        <f>A75+SUM(GAME!C5:C7)+(7-COUNTA(GAME!C5:C7))*(130-A75-SUM(GAME!C5:C7))/(16-COUNTA(GAME!C5:C7))</f>
        <v/>
      </c>
      <c r="D75" s="18">
        <f>IF(A75&gt;7.65,C75-REFERENCE!B5,C75+REFERENCE!B5)</f>
        <v/>
      </c>
      <c r="E75" s="19">
        <f>IF(AND(B75,GAME!C34&lt;&gt;""),EXP(-((C75-GAME!C34)^2)/(2*GAME!F5^2)),0)</f>
        <v/>
      </c>
      <c r="F75" s="19">
        <f>IF(AND(B75,GAME!C34&lt;&gt;""),EXP(-((D75-GAME!C34)^2)/(2*GAME!F5^2)),0)</f>
        <v/>
      </c>
      <c r="G75" s="20">
        <f>IF(GAME!C34="",IF(B75,1/COUNTIF(B61:B77,TRUE),0),IF(B75,(GAME!F4*E75+(1-GAME!F4)*F75)/SUMPRODUCT(GAME!F4*E61:E77+(1-GAME!F4)*F61:F77),0))</f>
        <v/>
      </c>
    </row>
    <row r="76">
      <c r="A76" t="n">
        <v>15</v>
      </c>
      <c r="B76">
        <f>AND(A76&lt;&gt;GAME!C4,OR(GAME!C5="",A76&lt;&gt;GAME!C5),OR(GAME!C6="",A76&lt;&gt;GAME!C6),OR(GAME!C7="",A76&lt;&gt;GAME!C7))</f>
        <v/>
      </c>
      <c r="C76" s="18">
        <f>A76+SUM(GAME!C5:C7)+(7-COUNTA(GAME!C5:C7))*(130-A76-SUM(GAME!C5:C7))/(16-COUNTA(GAME!C5:C7))</f>
        <v/>
      </c>
      <c r="D76" s="18">
        <f>IF(A76&gt;7.65,C76-REFERENCE!B5,C76+REFERENCE!B5)</f>
        <v/>
      </c>
      <c r="E76" s="19">
        <f>IF(AND(B76,GAME!C34&lt;&gt;""),EXP(-((C76-GAME!C34)^2)/(2*GAME!F5^2)),0)</f>
        <v/>
      </c>
      <c r="F76" s="19">
        <f>IF(AND(B76,GAME!C34&lt;&gt;""),EXP(-((D76-GAME!C34)^2)/(2*GAME!F5^2)),0)</f>
        <v/>
      </c>
      <c r="G76" s="20">
        <f>IF(GAME!C34="",IF(B76,1/COUNTIF(B61:B77,TRUE),0),IF(B76,(GAME!F4*E76+(1-GAME!F4)*F76)/SUMPRODUCT(GAME!F4*E61:E77+(1-GAME!F4)*F61:F77),0))</f>
        <v/>
      </c>
    </row>
    <row r="77">
      <c r="A77" t="n">
        <v>20</v>
      </c>
      <c r="B77">
        <f>AND(A77&lt;&gt;GAME!C4,OR(GAME!C5="",A77&lt;&gt;GAME!C5),OR(GAME!C6="",A77&lt;&gt;GAME!C6),OR(GAME!C7="",A77&lt;&gt;GAME!C7))</f>
        <v/>
      </c>
      <c r="C77" s="18">
        <f>A77+SUM(GAME!C5:C7)+(7-COUNTA(GAME!C5:C7))*(130-A77-SUM(GAME!C5:C7))/(16-COUNTA(GAME!C5:C7))</f>
        <v/>
      </c>
      <c r="D77" s="18">
        <f>IF(A77&gt;7.65,C77-REFERENCE!B5,C77+REFERENCE!B5)</f>
        <v/>
      </c>
      <c r="E77" s="19">
        <f>IF(AND(B77,GAME!C34&lt;&gt;""),EXP(-((C77-GAME!C34)^2)/(2*GAME!F5^2)),0)</f>
        <v/>
      </c>
      <c r="F77" s="19">
        <f>IF(AND(B77,GAME!C34&lt;&gt;""),EXP(-((D77-GAME!C34)^2)/(2*GAME!F5^2)),0)</f>
        <v/>
      </c>
      <c r="G77" s="20">
        <f>IF(GAME!C34="",IF(B77,1/COUNTIF(B61:B77,TRUE),0),IF(B77,(GAME!F4*E77+(1-GAME!F4)*F77)/SUMPRODUCT(GAME!F4*E61:E77+(1-GAME!F4)*F61:F77),0))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REFERENCE DATA</t>
        </is>
      </c>
    </row>
    <row r="3">
      <c r="A3" s="2" t="inlineStr">
        <is>
          <t>Settings</t>
        </is>
      </c>
      <c r="D3" s="2" t="inlineStr">
        <is>
          <t>Deck Stats</t>
        </is>
      </c>
    </row>
    <row r="4">
      <c r="A4" t="inlineStr">
        <is>
          <t>Sigma:</t>
        </is>
      </c>
      <c r="B4">
        <f>GAME!F5</f>
        <v/>
      </c>
      <c r="D4" t="inlineStr">
        <is>
          <t>Total Cards:</t>
        </is>
      </c>
      <c r="E4" t="n">
        <v>17</v>
      </c>
    </row>
    <row r="5">
      <c r="A5" t="inlineStr">
        <is>
          <t>Bluff Offset:</t>
        </is>
      </c>
      <c r="B5" s="6" t="n">
        <v>6</v>
      </c>
      <c r="D5" t="inlineStr">
        <is>
          <t>Deck Sum:</t>
        </is>
      </c>
      <c r="E5" t="n">
        <v>130</v>
      </c>
    </row>
    <row r="6">
      <c r="A6" t="inlineStr">
        <is>
          <t>Bluff Prior (p):</t>
        </is>
      </c>
      <c r="B6">
        <f>GAME!F4</f>
        <v/>
      </c>
      <c r="D6" t="inlineStr">
        <is>
          <t>Mean per Card:</t>
        </is>
      </c>
      <c r="E6" t="n">
        <v>7.65</v>
      </c>
    </row>
    <row r="7">
      <c r="D7" t="inlineStr">
        <is>
          <t>Cards in Play:</t>
        </is>
      </c>
      <c r="E7" t="n">
        <v>8</v>
      </c>
    </row>
    <row r="8">
      <c r="A8" s="2" t="inlineStr">
        <is>
          <t>Deck</t>
        </is>
      </c>
      <c r="D8" t="inlineStr">
        <is>
          <t>Players:</t>
        </is>
      </c>
      <c r="E8" t="n">
        <v>5</v>
      </c>
    </row>
    <row r="9">
      <c r="A9" s="3" t="inlineStr">
        <is>
          <t>Card</t>
        </is>
      </c>
      <c r="B9" s="3" t="inlineStr">
        <is>
          <t>Mean Excl.</t>
        </is>
      </c>
    </row>
    <row r="10">
      <c r="A10" t="n">
        <v>-10</v>
      </c>
      <c r="B10" t="n">
        <v>8.75</v>
      </c>
    </row>
    <row r="11">
      <c r="A11" t="n">
        <v>1</v>
      </c>
      <c r="B11" t="n">
        <v>8.06</v>
      </c>
    </row>
    <row r="12">
      <c r="A12" t="n">
        <v>2</v>
      </c>
      <c r="B12" t="n">
        <v>8</v>
      </c>
    </row>
    <row r="13">
      <c r="A13" t="n">
        <v>3</v>
      </c>
      <c r="B13" t="n">
        <v>7.94</v>
      </c>
    </row>
    <row r="14">
      <c r="A14" t="n">
        <v>4</v>
      </c>
      <c r="B14" t="n">
        <v>7.88</v>
      </c>
    </row>
    <row r="15">
      <c r="A15" t="n">
        <v>5</v>
      </c>
      <c r="B15" t="n">
        <v>7.81</v>
      </c>
    </row>
    <row r="16">
      <c r="A16" t="n">
        <v>6</v>
      </c>
      <c r="B16" t="n">
        <v>7.75</v>
      </c>
    </row>
    <row r="17">
      <c r="A17" t="n">
        <v>7</v>
      </c>
      <c r="B17" t="n">
        <v>7.69</v>
      </c>
    </row>
    <row r="18">
      <c r="A18" t="n">
        <v>8</v>
      </c>
      <c r="B18" t="n">
        <v>7.62</v>
      </c>
    </row>
    <row r="19">
      <c r="A19" t="n">
        <v>9</v>
      </c>
      <c r="B19" t="n">
        <v>7.56</v>
      </c>
    </row>
    <row r="20">
      <c r="A20" t="n">
        <v>10</v>
      </c>
      <c r="B20" t="n">
        <v>7.5</v>
      </c>
    </row>
    <row r="21">
      <c r="A21" t="n">
        <v>11</v>
      </c>
      <c r="B21" t="n">
        <v>7.44</v>
      </c>
    </row>
    <row r="22">
      <c r="A22" t="n">
        <v>12</v>
      </c>
      <c r="B22" t="n">
        <v>7.38</v>
      </c>
    </row>
    <row r="23">
      <c r="A23" t="n">
        <v>13</v>
      </c>
      <c r="B23" t="n">
        <v>7.31</v>
      </c>
    </row>
    <row r="24">
      <c r="A24" t="n">
        <v>14</v>
      </c>
      <c r="B24" t="n">
        <v>7.25</v>
      </c>
    </row>
    <row r="25">
      <c r="A25" t="n">
        <v>15</v>
      </c>
      <c r="B25" t="n">
        <v>7.19</v>
      </c>
    </row>
    <row r="26">
      <c r="A26" t="n">
        <v>20</v>
      </c>
      <c r="B26" t="n">
        <v>6.88</v>
      </c>
    </row>
    <row r="29">
      <c r="A29" s="2" t="inlineStr">
        <is>
          <t>HOW TO USE</t>
        </is>
      </c>
    </row>
    <row r="30">
      <c r="A30" t="inlineStr">
        <is>
          <t>1. Enter your card in the yellow cell on GAME sheet</t>
        </is>
      </c>
    </row>
    <row r="31">
      <c r="A31" t="inlineStr">
        <is>
          <t>2. As central cards are revealed, enter them</t>
        </is>
      </c>
    </row>
    <row r="32">
      <c r="A32" t="inlineStr">
        <is>
          <t>3. When an opponent quotes, enter their mid-price</t>
        </is>
      </c>
    </row>
    <row r="33">
      <c r="A33" t="inlineStr">
        <is>
          <t>4. When offered a price, enter bid/ask in Decision Helper</t>
        </is>
      </c>
    </row>
    <row r="34">
      <c r="A34" t="inlineStr">
        <is>
          <t>5. The sheet tells you: fair price, who has what, buy/sell/walk</t>
        </is>
      </c>
    </row>
    <row r="36">
      <c r="A36" t="inlineStr">
        <is>
          <t>p=1.0 → assume no bluffing. p=0.5 → uncertain. p=0.0 → everyone bluffs.</t>
        </is>
      </c>
    </row>
    <row r="37">
      <c r="A37" t="inlineStr">
        <is>
          <t>Sigma: lower = more confident inference (try 2-4)</t>
        </is>
      </c>
    </row>
    <row r="38">
      <c r="A38" t="inlineStr">
        <is>
          <t>Bluff Offset: how far bluffers shift from true EV (try 4-8)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2026-04-20T12:32:33Z</dcterms:created>
  <dcterms:modified xsi:type="dcterms:W3CDTF">2026-04-20T12:32:33Z</dcterms:modified>
</cp:coreProperties>
</file>